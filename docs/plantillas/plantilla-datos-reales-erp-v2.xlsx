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eguntas negocio" sheetId="2" state="visible" r:id="rId4"/>
    <sheet name="Ubicaciones" sheetId="3" state="visible" r:id="rId5"/>
    <sheet name="Usuarios" sheetId="4" state="visible" r:id="rId6"/>
    <sheet name="Modelos" sheetId="5" state="visible" r:id="rId7"/>
    <sheet name="Lote" sheetId="6" state="visible" r:id="rId8"/>
    <sheet name="Packing list" sheetId="7" state="visible" r:id="rId9"/>
    <sheet name="Unidades" sheetId="8" state="visible" r:id="rId10"/>
    <sheet name="Baterías (opcional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Se calcula: voltaje / 12 (48V=4, 60V=5, 72V=6). Regla RN-01.</t>
        </r>
      </text>
    </comment>
    <comment ref="H1" authorId="0">
      <text>
        <r>
          <rPr>
            <sz val="10"/>
            <rFont val="Arial"/>
            <family val="2"/>
          </rPr>
          <t xml:space="preserve">Volumen de UNA unidad en su caja, en m³ (de la proforma o packing list).</t>
        </r>
      </text>
    </comment>
    <comment ref="I1" authorId="0">
      <text>
        <r>
          <rPr>
            <sz val="10"/>
            <rFont val="Arial"/>
            <family val="2"/>
          </rPr>
          <t xml:space="preserve">Precio de fábrica por unidad en dólares (proforma del proveedor).</t>
        </r>
      </text>
    </comment>
  </commentList>
</comments>
</file>

<file path=xl/sharedStrings.xml><?xml version="1.0" encoding="utf-8"?>
<sst xmlns="http://schemas.openxmlformats.org/spreadsheetml/2006/main" count="216" uniqueCount="182">
  <si>
    <t xml:space="preserve">Plantilla de datos reales — ERP Vehículos Eléctricos</t>
  </si>
  <si>
    <t xml:space="preserve">Llena las hojas en el orden de abajo. Cada hoja corresponde a una pantalla del sistema.</t>
  </si>
  <si>
    <t xml:space="preserve">No escribas contraseñas en este archivo: los usuarios reciben su contraseña por un medio privado.</t>
  </si>
  <si>
    <t xml:space="preserve">Leyenda</t>
  </si>
  <si>
    <t xml:space="preserve">Amarillo: celda para llenar</t>
  </si>
  <si>
    <t xml:space="preserve">Gris: fila de EJEMPLO (no se carga; puedes borrarla)</t>
  </si>
  <si>
    <t xml:space="preserve">Verde: se calcula sola, no la edites</t>
  </si>
  <si>
    <t xml:space="preserve">#</t>
  </si>
  <si>
    <t xml:space="preserve">Hoja</t>
  </si>
  <si>
    <t xml:space="preserve">Qué contiene</t>
  </si>
  <si>
    <t xml:space="preserve">Cómo se carga en el sistema</t>
  </si>
  <si>
    <t xml:space="preserve">Preguntas negocio</t>
  </si>
  <si>
    <t xml:space="preserve">Decisiones del cliente que cambian costos y precios. RESPONDER PRIMERO.</t>
  </si>
  <si>
    <t xml:space="preserve">Se ajusta en la configuración del sistema</t>
  </si>
  <si>
    <t xml:space="preserve">Ubicaciones</t>
  </si>
  <si>
    <t xml:space="preserve">Almacenes, showrooms y talleres (3 ya existen)</t>
  </si>
  <si>
    <t xml:space="preserve">Admin → Ubicaciones</t>
  </si>
  <si>
    <t xml:space="preserve">Usuarios</t>
  </si>
  <si>
    <t xml:space="preserve">Personal que usará el sistema y su rol</t>
  </si>
  <si>
    <t xml:space="preserve">Supabase → Add user, luego Admin → Usuarios</t>
  </si>
  <si>
    <t xml:space="preserve">Modelos</t>
  </si>
  <si>
    <t xml:space="preserve">Ficha técnica y precio EXW de cada modelo XSDU</t>
  </si>
  <si>
    <t xml:space="preserve">Admin → Modelos</t>
  </si>
  <si>
    <t xml:space="preserve">Lote</t>
  </si>
  <si>
    <t xml:space="preserve">Datos y costos del contenedor (embarque, DAM, fletes, impuestos)</t>
  </si>
  <si>
    <t xml:space="preserve">Lotes → Nuevo lote → pestañas Datos y Costos</t>
  </si>
  <si>
    <t xml:space="preserve">Packing list</t>
  </si>
  <si>
    <t xml:space="preserve">Cuántas unidades de cada modelo trae el lote</t>
  </si>
  <si>
    <t xml:space="preserve">Lotes → pestaña Packing list</t>
  </si>
  <si>
    <t xml:space="preserve">Unidades</t>
  </si>
  <si>
    <t xml:space="preserve">VIN, motor y colores de cada unidad física</t>
  </si>
  <si>
    <t xml:space="preserve">Inventario → Registro de unidades (pegar desde Excel)</t>
  </si>
  <si>
    <t xml:space="preserve">Baterías (opcional)</t>
  </si>
  <si>
    <t xml:space="preserve">Seriales de baterías si el proveedor los entrega</t>
  </si>
  <si>
    <t xml:space="preserve">Taller → cada unidad (el técnico las escanea)</t>
  </si>
  <si>
    <t xml:space="preserve">Pregunta</t>
  </si>
  <si>
    <t xml:space="preserve">Valor que usa hoy el sistema</t>
  </si>
  <si>
    <t xml:space="preserve">Respuesta del cliente</t>
  </si>
  <si>
    <t xml:space="preserve">Por qué importa</t>
  </si>
  <si>
    <t xml:space="preserve">¿IGV, IPM y percepción de importación son crédito fiscal (empresa en Régimen General)?</t>
  </si>
  <si>
    <t xml:space="preserve">Se cargan al costo (SÍ cuentan como costo)</t>
  </si>
  <si>
    <t xml:space="preserve">Si son crédito fiscal, el costo y todos los precios bajan ~18% del CIF. LA MÁS IMPORTANTE.</t>
  </si>
  <si>
    <t xml:space="preserve">¿Los precios de venta incluyen IGV?</t>
  </si>
  <si>
    <t xml:space="preserve">Sí, incluyen IGV</t>
  </si>
  <si>
    <t xml:space="preserve">Define cómo se muestra el precio al cliente final</t>
  </si>
  <si>
    <t xml:space="preserve">Margen x1 (venta por unidad)</t>
  </si>
  <si>
    <t xml:space="preserve">20% (x3 y x6 desactivados por ahora)</t>
  </si>
  <si>
    <t xml:space="preserve">Precio = Costo / (1 − Margen)</t>
  </si>
  <si>
    <t xml:space="preserve">¿El 20% es sobre el PRECIO de venta o ENCIMA del costo?</t>
  </si>
  <si>
    <t xml:space="preserve">Sobre el precio: costo S/ 1,000 → precio S/ 1,250</t>
  </si>
  <si>
    <t xml:space="preserve">Si es encima del costo (S/ 1,000 → S/ 1,200), en el sistema se pone 16.67%</t>
  </si>
  <si>
    <t xml:space="preserve">Meses de garantía general (¿igual para todos los modelos?)</t>
  </si>
  <si>
    <t xml:space="preserve">12 meses</t>
  </si>
  <si>
    <t xml:space="preserve">Se genera automáticamente al vender</t>
  </si>
  <si>
    <t xml:space="preserve">Meses de garantía de baterías</t>
  </si>
  <si>
    <t xml:space="preserve">6 meses</t>
  </si>
  <si>
    <t xml:space="preserve">¿Las ventas x3 y x6 pueden mezclar modelos distintos?</t>
  </si>
  <si>
    <t xml:space="preserve">Sí, se pueden mezclar</t>
  </si>
  <si>
    <t xml:space="preserve">Regla para aplicar precio mayorista/distribuidor</t>
  </si>
  <si>
    <t xml:space="preserve">¿El vendedor puede dar descuentos?</t>
  </si>
  <si>
    <t xml:space="preserve">No, solo el admin cambia precios</t>
  </si>
  <si>
    <t xml:space="preserve">Si sí, se agrega un límite de descuento</t>
  </si>
  <si>
    <t xml:space="preserve">¿Hay unidades que ya existían antes del sistema (armadas en tienda o ya vendidas)?</t>
  </si>
  <si>
    <t xml:space="preserve">—</t>
  </si>
  <si>
    <t xml:space="preserve">Define si se cargan como inventario inicial (ver hoja Unidades, columna Situación)</t>
  </si>
  <si>
    <t xml:space="preserve">Costo de armado por unidad</t>
  </si>
  <si>
    <t xml:space="preserve">S/ 60.00</t>
  </si>
  <si>
    <t xml:space="preserve">Se suma al costo de cada unidad</t>
  </si>
  <si>
    <t xml:space="preserve">Nombre</t>
  </si>
  <si>
    <t xml:space="preserve">Tipo</t>
  </si>
  <si>
    <t xml:space="preserve">Dirección</t>
  </si>
  <si>
    <t xml:space="preserve">Notas</t>
  </si>
  <si>
    <t xml:space="preserve">Almacén Central</t>
  </si>
  <si>
    <t xml:space="preserve">almacen</t>
  </si>
  <si>
    <t xml:space="preserve">Ya existe en el sistema (corrige el nombre si hace falta)</t>
  </si>
  <si>
    <t xml:space="preserve">Showroom Piérola</t>
  </si>
  <si>
    <t xml:space="preserve">showroom</t>
  </si>
  <si>
    <t xml:space="preserve">Taller de Ensamble</t>
  </si>
  <si>
    <t xml:space="preserve">taller</t>
  </si>
  <si>
    <t xml:space="preserve">Nombre completo</t>
  </si>
  <si>
    <t xml:space="preserve">Email</t>
  </si>
  <si>
    <t xml:space="preserve">Rol</t>
  </si>
  <si>
    <t xml:space="preserve">Roles: admin = todo (ve costos) · tecnico = registro de unidades, baterías e inspección (no ve costos ni precios) · vendedor = stock, precios y ventas (no ve costos).</t>
  </si>
  <si>
    <t xml:space="preserve">EJEMPLO: Ana Pérez</t>
  </si>
  <si>
    <t xml:space="preserve">ana.perez@empresa.pe</t>
  </si>
  <si>
    <t xml:space="preserve">vendedor</t>
  </si>
  <si>
    <t xml:space="preserve">Fila de ejemplo — no se carga</t>
  </si>
  <si>
    <t xml:space="preserve">Código modelo</t>
  </si>
  <si>
    <t xml:space="preserve">Nombre comercial</t>
  </si>
  <si>
    <t xml:space="preserve">Categoría</t>
  </si>
  <si>
    <t xml:space="preserve">Voltaje (V)</t>
  </si>
  <si>
    <t xml:space="preserve">Baterías 12V</t>
  </si>
  <si>
    <t xml:space="preserve">Amperaje batería (Ah)</t>
  </si>
  <si>
    <t xml:space="preserve">Potencia motor (W)</t>
  </si>
  <si>
    <t xml:space="preserve">Volumen embalado (CBM, m³)</t>
  </si>
  <si>
    <t xml:space="preserve">Precio EXW unitario (US$)</t>
  </si>
  <si>
    <t xml:space="preserve">Garantía general (meses)</t>
  </si>
  <si>
    <t xml:space="preserve">Garantía baterías (meses)</t>
  </si>
  <si>
    <t xml:space="preserve">EJEMPLO-01</t>
  </si>
  <si>
    <t xml:space="preserve">Moto urbana 1000W</t>
  </si>
  <si>
    <t xml:space="preserve">bicimoto</t>
  </si>
  <si>
    <t xml:space="preserve">XSDU-17</t>
  </si>
  <si>
    <t xml:space="preserve">XSDU-23</t>
  </si>
  <si>
    <t xml:space="preserve">XSDU-24</t>
  </si>
  <si>
    <t xml:space="preserve">XSDU-25</t>
  </si>
  <si>
    <t xml:space="preserve">XSDU-29</t>
  </si>
  <si>
    <t xml:space="preserve">XSDU-31</t>
  </si>
  <si>
    <t xml:space="preserve">XSDU-35</t>
  </si>
  <si>
    <t xml:space="preserve">XSDU-36</t>
  </si>
  <si>
    <t xml:space="preserve">Campo</t>
  </si>
  <si>
    <t xml:space="preserve">Valor</t>
  </si>
  <si>
    <t xml:space="preserve">Unidad</t>
  </si>
  <si>
    <t xml:space="preserve">De dónde sale / notas</t>
  </si>
  <si>
    <t xml:space="preserve">Si tienes más de un contenedor, duplica esta hoja (Lote 2, Lote 3…).</t>
  </si>
  <si>
    <t xml:space="preserve">Código de embarque</t>
  </si>
  <si>
    <t xml:space="preserve">117GZH2606089</t>
  </si>
  <si>
    <t xml:space="preserve">Del documento original — confirmar</t>
  </si>
  <si>
    <t xml:space="preserve">Nro. DAM</t>
  </si>
  <si>
    <t xml:space="preserve">118-2026-10-361056-01-0-00</t>
  </si>
  <si>
    <t xml:space="preserve">Proveedor</t>
  </si>
  <si>
    <t xml:space="preserve">Razón social del proveedor</t>
  </si>
  <si>
    <t xml:space="preserve">Fecha de embarque</t>
  </si>
  <si>
    <t xml:space="preserve">dd/mm/aaaa</t>
  </si>
  <si>
    <t xml:space="preserve">Fecha de llegada</t>
  </si>
  <si>
    <t xml:space="preserve">Tipo de cambio</t>
  </si>
  <si>
    <t xml:space="preserve">S/ por US$</t>
  </si>
  <si>
    <t xml:space="preserve">El usado en la DAM — confirmar</t>
  </si>
  <si>
    <t xml:space="preserve">FOB total</t>
  </si>
  <si>
    <t xml:space="preserve">US$</t>
  </si>
  <si>
    <t xml:space="preserve">Factura comercial</t>
  </si>
  <si>
    <t xml:space="preserve">Flete internacional</t>
  </si>
  <si>
    <t xml:space="preserve">Se reparte por volumen (CBM)</t>
  </si>
  <si>
    <t xml:space="preserve">Gastos del agente de carga</t>
  </si>
  <si>
    <t xml:space="preserve">Ad Valorem</t>
  </si>
  <si>
    <t xml:space="preserve">S/</t>
  </si>
  <si>
    <t xml:space="preserve">Liquidación de la DAM</t>
  </si>
  <si>
    <t xml:space="preserve">IGV de importación</t>
  </si>
  <si>
    <t xml:space="preserve">IPM</t>
  </si>
  <si>
    <t xml:space="preserve">Percepción</t>
  </si>
  <si>
    <t xml:space="preserve">Flete nacional (Callao → destino)</t>
  </si>
  <si>
    <t xml:space="preserve">Alquiler del periodo</t>
  </si>
  <si>
    <t xml:space="preserve">Se reparte por cantidad de unidades</t>
  </si>
  <si>
    <t xml:space="preserve">Sueldos del periodo</t>
  </si>
  <si>
    <t xml:space="preserve">Publicidad inicial</t>
  </si>
  <si>
    <t xml:space="preserve">Valor por defecto del sistema</t>
  </si>
  <si>
    <t xml:space="preserve">Total impuestos SUNAT</t>
  </si>
  <si>
    <t xml:space="preserve">Total EXW del packing list</t>
  </si>
  <si>
    <t xml:space="preserve">Referencia: debería ser cercano al FOB total</t>
  </si>
  <si>
    <t xml:space="preserve">Total unidades del packing list</t>
  </si>
  <si>
    <t xml:space="preserve">unid.</t>
  </si>
  <si>
    <t xml:space="preserve">Cantidad (packing list)</t>
  </si>
  <si>
    <t xml:space="preserve">Cantidad (DAM)</t>
  </si>
  <si>
    <t xml:space="preserve">EXW unitario factura (US$) — solo si difiere del catálogo</t>
  </si>
  <si>
    <t xml:space="preserve">EXW unitario usado (US$)</t>
  </si>
  <si>
    <t xml:space="preserve">CBM unitario usado</t>
  </si>
  <si>
    <t xml:space="preserve">EXW total (US$)</t>
  </si>
  <si>
    <t xml:space="preserve">CBM total</t>
  </si>
  <si>
    <t xml:space="preserve">Si la cantidad del packing list y la de la DAM difieren, el sistema lo marca en Auditoría.</t>
  </si>
  <si>
    <t xml:space="preserve">TOTAL</t>
  </si>
  <si>
    <t xml:space="preserve">VIN / chasis</t>
  </si>
  <si>
    <t xml:space="preserve">Nro. de motor</t>
  </si>
  <si>
    <t xml:space="preserve">Color primario</t>
  </si>
  <si>
    <t xml:space="preserve">Color secundario</t>
  </si>
  <si>
    <t xml:space="preserve">Situación actual</t>
  </si>
  <si>
    <t xml:space="preserve">Una fila por unidad física. Los VIN y números de motor no pueden repetirse. Las primeras 5 columnas se pegan tal cual en Inventario → Registro de unidades.</t>
  </si>
  <si>
    <t xml:space="preserve">LZSJCMLC5R1000001</t>
  </si>
  <si>
    <t xml:space="preserve">QS1000W2406001</t>
  </si>
  <si>
    <t xml:space="preserve">Rojo</t>
  </si>
  <si>
    <t xml:space="preserve">Negro</t>
  </si>
  <si>
    <t xml:space="preserve">en_caja</t>
  </si>
  <si>
    <t xml:space="preserve">Serial batería 1</t>
  </si>
  <si>
    <t xml:space="preserve">Serial batería 2</t>
  </si>
  <si>
    <t xml:space="preserve">Serial batería 3</t>
  </si>
  <si>
    <t xml:space="preserve">Serial batería 4</t>
  </si>
  <si>
    <t xml:space="preserve">Serial batería 5 (60V/72V)</t>
  </si>
  <si>
    <t xml:space="preserve">Serial batería 6 (solo 72V)</t>
  </si>
  <si>
    <t xml:space="preserve">Solo si el proveedor entrega los seriales. Si no, el técnico los escanea en el Taller al armar cada unidad.</t>
  </si>
  <si>
    <t xml:space="preserve">BT20A-0001</t>
  </si>
  <si>
    <t xml:space="preserve">BT20A-0002</t>
  </si>
  <si>
    <t xml:space="preserve">BT20A-0003</t>
  </si>
  <si>
    <t xml:space="preserve">BT20A-0004</t>
  </si>
  <si>
    <t xml:space="preserve">BT20A-0005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</si>
</sst>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4"/>
      <c r="C7" s="5" t="s">
        <v>4</v>
      </c>
    </row>
    <row r="8" customFormat="false" ht="15" hidden="false" customHeight="false" outlineLevel="0" collapsed="false">
      <c r="B8" s="6"/>
      <c r="C8" s="5" t="s">
        <v>5</v>
      </c>
    </row>
    <row r="9" customFormat="false" ht="15" hidden="false" customHeight="false" outlineLevel="0" collapsed="false">
      <c r="B9" s="7"/>
      <c r="C9" s="5" t="s">
        <v>6</v>
      </c>
    </row>
    <row r="11" customFormat="false" ht="15" hidden="false" customHeight="fals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5" t="n">
        <v>1</v>
      </c>
      <c r="B12" s="9" t="s">
        <v>11</v>
      </c>
      <c r="C12" s="10" t="s">
        <v>12</v>
      </c>
      <c r="D12" s="10" t="s">
        <v>13</v>
      </c>
    </row>
    <row r="13" customFormat="false" ht="15" hidden="false" customHeight="false" outlineLevel="0" collapsed="false">
      <c r="A13" s="5" t="n">
        <v>2</v>
      </c>
      <c r="B13" s="9" t="s">
        <v>14</v>
      </c>
      <c r="C13" s="10" t="s">
        <v>15</v>
      </c>
      <c r="D13" s="10" t="s">
        <v>16</v>
      </c>
    </row>
    <row r="14" customFormat="false" ht="15" hidden="false" customHeight="false" outlineLevel="0" collapsed="false">
      <c r="A14" s="5" t="n">
        <v>3</v>
      </c>
      <c r="B14" s="9" t="s">
        <v>17</v>
      </c>
      <c r="C14" s="10" t="s">
        <v>18</v>
      </c>
      <c r="D14" s="10" t="s">
        <v>19</v>
      </c>
    </row>
    <row r="15" customFormat="false" ht="15" hidden="false" customHeight="false" outlineLevel="0" collapsed="false">
      <c r="A15" s="5" t="n">
        <v>4</v>
      </c>
      <c r="B15" s="9" t="s">
        <v>20</v>
      </c>
      <c r="C15" s="10" t="s">
        <v>21</v>
      </c>
      <c r="D15" s="10" t="s">
        <v>22</v>
      </c>
    </row>
    <row r="16" customFormat="false" ht="15" hidden="false" customHeight="false" outlineLevel="0" collapsed="false">
      <c r="A16" s="5" t="n">
        <v>5</v>
      </c>
      <c r="B16" s="9" t="s">
        <v>23</v>
      </c>
      <c r="C16" s="10" t="s">
        <v>24</v>
      </c>
      <c r="D16" s="10" t="s">
        <v>25</v>
      </c>
    </row>
    <row r="17" customFormat="false" ht="15" hidden="false" customHeight="false" outlineLevel="0" collapsed="false">
      <c r="A17" s="5" t="n">
        <v>6</v>
      </c>
      <c r="B17" s="9" t="s">
        <v>26</v>
      </c>
      <c r="C17" s="10" t="s">
        <v>27</v>
      </c>
      <c r="D17" s="10" t="s">
        <v>28</v>
      </c>
    </row>
    <row r="18" customFormat="false" ht="23.85" hidden="false" customHeight="false" outlineLevel="0" collapsed="false">
      <c r="A18" s="5" t="n">
        <v>7</v>
      </c>
      <c r="B18" s="9" t="s">
        <v>29</v>
      </c>
      <c r="C18" s="10" t="s">
        <v>30</v>
      </c>
      <c r="D18" s="10" t="s">
        <v>31</v>
      </c>
    </row>
    <row r="19" customFormat="false" ht="15" hidden="false" customHeight="false" outlineLevel="0" collapsed="false">
      <c r="A19" s="5" t="n">
        <v>8</v>
      </c>
      <c r="B19" s="9" t="s">
        <v>32</v>
      </c>
      <c r="C19" s="10" t="s">
        <v>33</v>
      </c>
      <c r="D19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4" min="3" style="0" width="30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11" t="s">
        <v>7</v>
      </c>
      <c r="B1" s="11" t="s">
        <v>35</v>
      </c>
      <c r="C1" s="11" t="s">
        <v>36</v>
      </c>
      <c r="D1" s="11" t="s">
        <v>37</v>
      </c>
      <c r="E1" s="11" t="s">
        <v>38</v>
      </c>
    </row>
    <row r="2" customFormat="false" ht="42" hidden="false" customHeight="true" outlineLevel="0" collapsed="false">
      <c r="A2" s="5" t="n">
        <v>1</v>
      </c>
      <c r="B2" s="12" t="s">
        <v>39</v>
      </c>
      <c r="C2" s="12" t="s">
        <v>40</v>
      </c>
      <c r="D2" s="4"/>
      <c r="E2" s="12" t="s">
        <v>41</v>
      </c>
    </row>
    <row r="3" customFormat="false" ht="42" hidden="false" customHeight="true" outlineLevel="0" collapsed="false">
      <c r="A3" s="5" t="n">
        <v>2</v>
      </c>
      <c r="B3" s="12" t="s">
        <v>42</v>
      </c>
      <c r="C3" s="12" t="s">
        <v>43</v>
      </c>
      <c r="D3" s="4"/>
      <c r="E3" s="12" t="s">
        <v>44</v>
      </c>
    </row>
    <row r="4" customFormat="false" ht="42" hidden="false" customHeight="true" outlineLevel="0" collapsed="false">
      <c r="A4" s="5" t="n">
        <v>3</v>
      </c>
      <c r="B4" s="12" t="s">
        <v>45</v>
      </c>
      <c r="C4" s="12" t="s">
        <v>46</v>
      </c>
      <c r="D4" s="4"/>
      <c r="E4" s="12" t="s">
        <v>47</v>
      </c>
    </row>
    <row r="5" customFormat="false" ht="42" hidden="false" customHeight="true" outlineLevel="0" collapsed="false">
      <c r="A5" s="5" t="n">
        <v>4</v>
      </c>
      <c r="B5" s="12" t="s">
        <v>48</v>
      </c>
      <c r="C5" s="12" t="s">
        <v>49</v>
      </c>
      <c r="D5" s="4"/>
      <c r="E5" s="12" t="s">
        <v>50</v>
      </c>
    </row>
    <row r="6" customFormat="false" ht="42" hidden="false" customHeight="true" outlineLevel="0" collapsed="false">
      <c r="A6" s="5" t="n">
        <v>5</v>
      </c>
      <c r="B6" s="12" t="s">
        <v>51</v>
      </c>
      <c r="C6" s="12" t="s">
        <v>52</v>
      </c>
      <c r="D6" s="4"/>
      <c r="E6" s="12" t="s">
        <v>53</v>
      </c>
    </row>
    <row r="7" customFormat="false" ht="42" hidden="false" customHeight="true" outlineLevel="0" collapsed="false">
      <c r="A7" s="5" t="n">
        <v>6</v>
      </c>
      <c r="B7" s="12" t="s">
        <v>54</v>
      </c>
      <c r="C7" s="12" t="s">
        <v>55</v>
      </c>
      <c r="D7" s="4"/>
      <c r="E7" s="12" t="s">
        <v>53</v>
      </c>
    </row>
    <row r="8" customFormat="false" ht="42" hidden="false" customHeight="true" outlineLevel="0" collapsed="false">
      <c r="A8" s="5" t="n">
        <v>7</v>
      </c>
      <c r="B8" s="12" t="s">
        <v>56</v>
      </c>
      <c r="C8" s="12" t="s">
        <v>57</v>
      </c>
      <c r="D8" s="4"/>
      <c r="E8" s="12" t="s">
        <v>58</v>
      </c>
    </row>
    <row r="9" customFormat="false" ht="42" hidden="false" customHeight="true" outlineLevel="0" collapsed="false">
      <c r="A9" s="5" t="n">
        <v>8</v>
      </c>
      <c r="B9" s="12" t="s">
        <v>59</v>
      </c>
      <c r="C9" s="12" t="s">
        <v>60</v>
      </c>
      <c r="D9" s="4"/>
      <c r="E9" s="12" t="s">
        <v>61</v>
      </c>
    </row>
    <row r="10" customFormat="false" ht="42" hidden="false" customHeight="true" outlineLevel="0" collapsed="false">
      <c r="A10" s="5" t="n">
        <v>9</v>
      </c>
      <c r="B10" s="12" t="s">
        <v>62</v>
      </c>
      <c r="C10" s="12" t="s">
        <v>63</v>
      </c>
      <c r="D10" s="4"/>
      <c r="E10" s="12" t="s">
        <v>64</v>
      </c>
    </row>
    <row r="11" customFormat="false" ht="42" hidden="false" customHeight="true" outlineLevel="0" collapsed="false">
      <c r="A11" s="5" t="n">
        <v>10</v>
      </c>
      <c r="B11" s="12" t="s">
        <v>65</v>
      </c>
      <c r="C11" s="12" t="s">
        <v>66</v>
      </c>
      <c r="D11" s="4"/>
      <c r="E11" s="1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35"/>
  </cols>
  <sheetData>
    <row r="1" customFormat="false" ht="31.5" hidden="false" customHeight="true" outlineLevel="0" collapsed="false">
      <c r="A1" s="11" t="s">
        <v>68</v>
      </c>
      <c r="B1" s="11" t="s">
        <v>69</v>
      </c>
      <c r="C1" s="11" t="s">
        <v>70</v>
      </c>
      <c r="D1" s="11" t="s">
        <v>71</v>
      </c>
    </row>
    <row r="2" customFormat="false" ht="15" hidden="false" customHeight="false" outlineLevel="0" collapsed="false">
      <c r="A2" s="5" t="s">
        <v>72</v>
      </c>
      <c r="B2" s="5" t="s">
        <v>73</v>
      </c>
      <c r="C2" s="4"/>
      <c r="D2" s="13" t="s">
        <v>74</v>
      </c>
    </row>
    <row r="3" customFormat="false" ht="15" hidden="false" customHeight="false" outlineLevel="0" collapsed="false">
      <c r="A3" s="5" t="s">
        <v>75</v>
      </c>
      <c r="B3" s="5" t="s">
        <v>76</v>
      </c>
      <c r="C3" s="4"/>
      <c r="D3" s="13" t="s">
        <v>74</v>
      </c>
    </row>
    <row r="4" customFormat="false" ht="15" hidden="false" customHeight="false" outlineLevel="0" collapsed="false">
      <c r="A4" s="5" t="s">
        <v>77</v>
      </c>
      <c r="B4" s="5" t="s">
        <v>78</v>
      </c>
      <c r="C4" s="4"/>
      <c r="D4" s="13" t="s">
        <v>74</v>
      </c>
    </row>
    <row r="5" customFormat="false" ht="15" hidden="false" customHeight="false" outlineLevel="0" collapsed="false">
      <c r="A5" s="4"/>
      <c r="B5" s="4"/>
      <c r="C5" s="4"/>
      <c r="D5" s="5"/>
    </row>
    <row r="6" customFormat="false" ht="15" hidden="false" customHeight="false" outlineLevel="0" collapsed="false">
      <c r="A6" s="4"/>
      <c r="B6" s="4"/>
      <c r="C6" s="4"/>
      <c r="D6" s="5"/>
    </row>
    <row r="7" customFormat="false" ht="15" hidden="false" customHeight="false" outlineLevel="0" collapsed="false">
      <c r="A7" s="4"/>
      <c r="B7" s="4"/>
      <c r="C7" s="4"/>
      <c r="D7" s="5"/>
    </row>
    <row r="8" customFormat="false" ht="15" hidden="false" customHeight="false" outlineLevel="0" collapsed="false">
      <c r="A8" s="4"/>
      <c r="B8" s="4"/>
      <c r="C8" s="4"/>
      <c r="D8" s="5"/>
    </row>
    <row r="9" customFormat="false" ht="15" hidden="false" customHeight="false" outlineLevel="0" collapsed="false">
      <c r="A9" s="4"/>
      <c r="B9" s="4"/>
      <c r="C9" s="4"/>
      <c r="D9" s="5"/>
    </row>
    <row r="10" customFormat="false" ht="15" hidden="false" customHeight="false" outlineLevel="0" collapsed="false">
      <c r="A10" s="4"/>
      <c r="B10" s="4"/>
      <c r="C10" s="4"/>
      <c r="D10" s="5"/>
    </row>
    <row r="11" customFormat="false" ht="15" hidden="false" customHeight="false" outlineLevel="0" collapsed="false">
      <c r="A11" s="4"/>
      <c r="B11" s="4"/>
      <c r="C11" s="4"/>
      <c r="D11" s="5"/>
    </row>
  </sheetData>
  <dataValidations count="1">
    <dataValidation allowBlank="true" error="Elige un valor de la lista" errorStyle="stop" operator="between" showDropDown="false" showErrorMessage="true" showInputMessage="false" sqref="B2:B40" type="list">
      <formula1>"almacen,showroom,taller"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11" t="s">
        <v>79</v>
      </c>
      <c r="B1" s="11" t="s">
        <v>80</v>
      </c>
      <c r="C1" s="11" t="s">
        <v>81</v>
      </c>
      <c r="D1" s="11" t="s">
        <v>71</v>
      </c>
      <c r="E1" s="14" t="s">
        <v>82</v>
      </c>
    </row>
    <row r="2" customFormat="false" ht="15" hidden="false" customHeight="false" outlineLevel="0" collapsed="false">
      <c r="A2" s="15" t="s">
        <v>83</v>
      </c>
      <c r="B2" s="15" t="s">
        <v>84</v>
      </c>
      <c r="C2" s="15" t="s">
        <v>85</v>
      </c>
      <c r="D2" s="15" t="s">
        <v>86</v>
      </c>
    </row>
    <row r="3" customFormat="false" ht="15" hidden="false" customHeight="false" outlineLevel="0" collapsed="false">
      <c r="A3" s="4"/>
      <c r="B3" s="4"/>
      <c r="C3" s="4"/>
      <c r="D3" s="5"/>
    </row>
    <row r="4" customFormat="false" ht="15" hidden="false" customHeight="false" outlineLevel="0" collapsed="false">
      <c r="A4" s="4"/>
      <c r="B4" s="4"/>
      <c r="C4" s="4"/>
      <c r="D4" s="5"/>
    </row>
    <row r="5" customFormat="false" ht="15" hidden="false" customHeight="false" outlineLevel="0" collapsed="false">
      <c r="A5" s="4"/>
      <c r="B5" s="4"/>
      <c r="C5" s="4"/>
      <c r="D5" s="5"/>
    </row>
    <row r="6" customFormat="false" ht="15" hidden="false" customHeight="false" outlineLevel="0" collapsed="false">
      <c r="A6" s="4"/>
      <c r="B6" s="4"/>
      <c r="C6" s="4"/>
      <c r="D6" s="5"/>
    </row>
    <row r="7" customFormat="false" ht="15" hidden="false" customHeight="false" outlineLevel="0" collapsed="false">
      <c r="A7" s="4"/>
      <c r="B7" s="4"/>
      <c r="C7" s="4"/>
      <c r="D7" s="5"/>
    </row>
    <row r="8" customFormat="false" ht="15" hidden="false" customHeight="false" outlineLevel="0" collapsed="false">
      <c r="A8" s="4"/>
      <c r="B8" s="4"/>
      <c r="C8" s="4"/>
      <c r="D8" s="5"/>
    </row>
    <row r="9" customFormat="false" ht="15" hidden="false" customHeight="false" outlineLevel="0" collapsed="false">
      <c r="A9" s="4"/>
      <c r="B9" s="4"/>
      <c r="C9" s="4"/>
      <c r="D9" s="5"/>
    </row>
    <row r="10" customFormat="false" ht="15" hidden="false" customHeight="false" outlineLevel="0" collapsed="false">
      <c r="A10" s="4"/>
      <c r="B10" s="4"/>
      <c r="C10" s="4"/>
      <c r="D10" s="5"/>
    </row>
    <row r="11" customFormat="false" ht="15" hidden="false" customHeight="false" outlineLevel="0" collapsed="false">
      <c r="A11" s="4"/>
      <c r="B11" s="4"/>
      <c r="C11" s="4"/>
      <c r="D11" s="5"/>
    </row>
    <row r="12" customFormat="false" ht="15" hidden="false" customHeight="false" outlineLevel="0" collapsed="false">
      <c r="A12" s="4"/>
      <c r="B12" s="4"/>
      <c r="C12" s="4"/>
      <c r="D12" s="5"/>
    </row>
    <row r="13" customFormat="false" ht="15" hidden="false" customHeight="false" outlineLevel="0" collapsed="false">
      <c r="A13" s="4"/>
      <c r="B13" s="4"/>
      <c r="C13" s="4"/>
      <c r="D13" s="5"/>
    </row>
    <row r="14" customFormat="false" ht="15" hidden="false" customHeight="false" outlineLevel="0" collapsed="false">
      <c r="A14" s="4"/>
      <c r="B14" s="4"/>
      <c r="C14" s="4"/>
      <c r="D14" s="5"/>
    </row>
    <row r="15" customFormat="false" ht="15" hidden="false" customHeight="false" outlineLevel="0" collapsed="false">
      <c r="A15" s="4"/>
      <c r="B15" s="4"/>
      <c r="C15" s="4"/>
      <c r="D15" s="5"/>
    </row>
  </sheetData>
  <dataValidations count="1">
    <dataValidation allowBlank="true" error="Elige un valor de la lista" errorStyle="stop" operator="between" prompt="admin: todo · tecnico: taller, sin costos ni precios · vendedor: ventas y precios, sin costos" showDropDown="false" showErrorMessage="true" showInputMessage="true" sqref="C2:C60" type="list">
      <formula1>"admin,tecnico,vendedor"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1" min="10" style="0" width="13"/>
  </cols>
  <sheetData>
    <row r="1" customFormat="false" ht="31.5" hidden="false" customHeight="true" outlineLevel="0" collapsed="false">
      <c r="A1" s="11" t="s">
        <v>87</v>
      </c>
      <c r="B1" s="11" t="s">
        <v>88</v>
      </c>
      <c r="C1" s="11" t="s">
        <v>89</v>
      </c>
      <c r="D1" s="11" t="s">
        <v>90</v>
      </c>
      <c r="E1" s="11" t="s">
        <v>91</v>
      </c>
      <c r="F1" s="11" t="s">
        <v>92</v>
      </c>
      <c r="G1" s="11" t="s">
        <v>93</v>
      </c>
      <c r="H1" s="11" t="s">
        <v>94</v>
      </c>
      <c r="I1" s="11" t="s">
        <v>95</v>
      </c>
      <c r="J1" s="11" t="s">
        <v>96</v>
      </c>
      <c r="K1" s="11" t="s">
        <v>97</v>
      </c>
    </row>
    <row r="2" customFormat="false" ht="15" hidden="false" customHeight="false" outlineLevel="0" collapsed="false">
      <c r="A2" s="15" t="s">
        <v>98</v>
      </c>
      <c r="B2" s="15" t="s">
        <v>99</v>
      </c>
      <c r="C2" s="15" t="s">
        <v>100</v>
      </c>
      <c r="D2" s="15" t="n">
        <v>60</v>
      </c>
      <c r="E2" s="15" t="n">
        <f aca="false">IF(D2="","",D2/12)</f>
        <v>5</v>
      </c>
      <c r="F2" s="15" t="n">
        <v>20</v>
      </c>
      <c r="G2" s="15" t="n">
        <v>1000</v>
      </c>
      <c r="H2" s="16" t="n">
        <v>0.45</v>
      </c>
      <c r="I2" s="17" t="n">
        <v>420</v>
      </c>
      <c r="J2" s="15" t="n">
        <v>12</v>
      </c>
      <c r="K2" s="15" t="n">
        <v>6</v>
      </c>
    </row>
    <row r="3" customFormat="false" ht="15" hidden="false" customHeight="false" outlineLevel="0" collapsed="false">
      <c r="A3" s="4" t="s">
        <v>101</v>
      </c>
      <c r="B3" s="4"/>
      <c r="C3" s="4"/>
      <c r="D3" s="4"/>
      <c r="E3" s="7" t="str">
        <f aca="false">IF(D3="","",D3/12)</f>
        <v/>
      </c>
      <c r="F3" s="4"/>
      <c r="G3" s="4"/>
      <c r="H3" s="18"/>
      <c r="I3" s="19"/>
      <c r="J3" s="4"/>
      <c r="K3" s="4"/>
    </row>
    <row r="4" customFormat="false" ht="15" hidden="false" customHeight="false" outlineLevel="0" collapsed="false">
      <c r="A4" s="4" t="s">
        <v>102</v>
      </c>
      <c r="B4" s="4"/>
      <c r="C4" s="4"/>
      <c r="D4" s="4"/>
      <c r="E4" s="7" t="str">
        <f aca="false">IF(D4="","",D4/12)</f>
        <v/>
      </c>
      <c r="F4" s="4"/>
      <c r="G4" s="4"/>
      <c r="H4" s="18"/>
      <c r="I4" s="19"/>
      <c r="J4" s="4"/>
      <c r="K4" s="4"/>
    </row>
    <row r="5" customFormat="false" ht="15" hidden="false" customHeight="false" outlineLevel="0" collapsed="false">
      <c r="A5" s="4" t="s">
        <v>103</v>
      </c>
      <c r="B5" s="4"/>
      <c r="C5" s="4"/>
      <c r="D5" s="4"/>
      <c r="E5" s="7" t="str">
        <f aca="false">IF(D5="","",D5/12)</f>
        <v/>
      </c>
      <c r="F5" s="4"/>
      <c r="G5" s="4"/>
      <c r="H5" s="18"/>
      <c r="I5" s="19"/>
      <c r="J5" s="4"/>
      <c r="K5" s="4"/>
    </row>
    <row r="6" customFormat="false" ht="15" hidden="false" customHeight="false" outlineLevel="0" collapsed="false">
      <c r="A6" s="4" t="s">
        <v>104</v>
      </c>
      <c r="B6" s="4"/>
      <c r="C6" s="4"/>
      <c r="D6" s="4"/>
      <c r="E6" s="7" t="str">
        <f aca="false">IF(D6="","",D6/12)</f>
        <v/>
      </c>
      <c r="F6" s="4"/>
      <c r="G6" s="4"/>
      <c r="H6" s="18"/>
      <c r="I6" s="19"/>
      <c r="J6" s="4"/>
      <c r="K6" s="4"/>
    </row>
    <row r="7" customFormat="false" ht="15" hidden="false" customHeight="false" outlineLevel="0" collapsed="false">
      <c r="A7" s="4" t="s">
        <v>105</v>
      </c>
      <c r="B7" s="4"/>
      <c r="C7" s="4"/>
      <c r="D7" s="4"/>
      <c r="E7" s="7" t="str">
        <f aca="false">IF(D7="","",D7/12)</f>
        <v/>
      </c>
      <c r="F7" s="4"/>
      <c r="G7" s="4"/>
      <c r="H7" s="18"/>
      <c r="I7" s="19"/>
      <c r="J7" s="4"/>
      <c r="K7" s="4"/>
    </row>
    <row r="8" customFormat="false" ht="15" hidden="false" customHeight="false" outlineLevel="0" collapsed="false">
      <c r="A8" s="4" t="s">
        <v>106</v>
      </c>
      <c r="B8" s="4"/>
      <c r="C8" s="4"/>
      <c r="D8" s="4"/>
      <c r="E8" s="7" t="str">
        <f aca="false">IF(D8="","",D8/12)</f>
        <v/>
      </c>
      <c r="F8" s="4"/>
      <c r="G8" s="4"/>
      <c r="H8" s="18"/>
      <c r="I8" s="19"/>
      <c r="J8" s="4"/>
      <c r="K8" s="4"/>
    </row>
    <row r="9" customFormat="false" ht="15" hidden="false" customHeight="false" outlineLevel="0" collapsed="false">
      <c r="A9" s="4" t="s">
        <v>107</v>
      </c>
      <c r="B9" s="4"/>
      <c r="C9" s="4"/>
      <c r="D9" s="4"/>
      <c r="E9" s="7" t="str">
        <f aca="false">IF(D9="","",D9/12)</f>
        <v/>
      </c>
      <c r="F9" s="4"/>
      <c r="G9" s="4"/>
      <c r="H9" s="18"/>
      <c r="I9" s="19"/>
      <c r="J9" s="4"/>
      <c r="K9" s="4"/>
    </row>
    <row r="10" customFormat="false" ht="15" hidden="false" customHeight="false" outlineLevel="0" collapsed="false">
      <c r="A10" s="4" t="s">
        <v>108</v>
      </c>
      <c r="B10" s="4"/>
      <c r="C10" s="4"/>
      <c r="D10" s="4"/>
      <c r="E10" s="7" t="str">
        <f aca="false">IF(D10="","",D10/12)</f>
        <v/>
      </c>
      <c r="F10" s="4"/>
      <c r="G10" s="4"/>
      <c r="H10" s="18"/>
      <c r="I10" s="19"/>
      <c r="J10" s="4"/>
      <c r="K10" s="4"/>
    </row>
    <row r="11" customFormat="false" ht="15" hidden="false" customHeight="false" outlineLevel="0" collapsed="false">
      <c r="A11" s="4"/>
      <c r="B11" s="4"/>
      <c r="C11" s="4"/>
      <c r="D11" s="4"/>
      <c r="E11" s="7" t="str">
        <f aca="false">IF(D11="","",D11/12)</f>
        <v/>
      </c>
      <c r="F11" s="4"/>
      <c r="G11" s="4"/>
      <c r="H11" s="18"/>
      <c r="I11" s="19"/>
      <c r="J11" s="4"/>
      <c r="K11" s="4"/>
    </row>
    <row r="12" customFormat="false" ht="15" hidden="false" customHeight="false" outlineLevel="0" collapsed="false">
      <c r="A12" s="4"/>
      <c r="B12" s="4"/>
      <c r="C12" s="4"/>
      <c r="D12" s="4"/>
      <c r="E12" s="7" t="str">
        <f aca="false">IF(D12="","",D12/12)</f>
        <v/>
      </c>
      <c r="F12" s="4"/>
      <c r="G12" s="4"/>
      <c r="H12" s="18"/>
      <c r="I12" s="19"/>
      <c r="J12" s="4"/>
      <c r="K12" s="4"/>
    </row>
    <row r="13" customFormat="false" ht="15" hidden="false" customHeight="false" outlineLevel="0" collapsed="false">
      <c r="A13" s="4"/>
      <c r="B13" s="4"/>
      <c r="C13" s="4"/>
      <c r="D13" s="4"/>
      <c r="E13" s="7" t="str">
        <f aca="false">IF(D13="","",D13/12)</f>
        <v/>
      </c>
      <c r="F13" s="4"/>
      <c r="G13" s="4"/>
      <c r="H13" s="18"/>
      <c r="I13" s="19"/>
      <c r="J13" s="4"/>
      <c r="K13" s="4"/>
    </row>
    <row r="14" customFormat="false" ht="15" hidden="false" customHeight="false" outlineLevel="0" collapsed="false">
      <c r="A14" s="4"/>
      <c r="B14" s="4"/>
      <c r="C14" s="4"/>
      <c r="D14" s="4"/>
      <c r="E14" s="7" t="str">
        <f aca="false">IF(D14="","",D14/12)</f>
        <v/>
      </c>
      <c r="F14" s="4"/>
      <c r="G14" s="4"/>
      <c r="H14" s="18"/>
      <c r="I14" s="19"/>
      <c r="J14" s="4"/>
      <c r="K14" s="4"/>
    </row>
    <row r="15" customFormat="false" ht="15" hidden="false" customHeight="false" outlineLevel="0" collapsed="false">
      <c r="A15" s="4"/>
      <c r="B15" s="4"/>
      <c r="C15" s="4"/>
      <c r="D15" s="4"/>
      <c r="E15" s="7" t="str">
        <f aca="false">IF(D15="","",D15/12)</f>
        <v/>
      </c>
      <c r="F15" s="4"/>
      <c r="G15" s="4"/>
      <c r="H15" s="18"/>
      <c r="I15" s="19"/>
      <c r="J15" s="4"/>
      <c r="K15" s="4"/>
    </row>
    <row r="16" customFormat="false" ht="15" hidden="false" customHeight="false" outlineLevel="0" collapsed="false">
      <c r="A16" s="4"/>
      <c r="B16" s="4"/>
      <c r="C16" s="4"/>
      <c r="D16" s="4"/>
      <c r="E16" s="7" t="str">
        <f aca="false">IF(D16="","",D16/12)</f>
        <v/>
      </c>
      <c r="F16" s="4"/>
      <c r="G16" s="4"/>
      <c r="H16" s="18"/>
      <c r="I16" s="19"/>
      <c r="J16" s="4"/>
      <c r="K16" s="4"/>
    </row>
    <row r="17" customFormat="false" ht="15" hidden="false" customHeight="false" outlineLevel="0" collapsed="false">
      <c r="A17" s="4"/>
      <c r="B17" s="4"/>
      <c r="C17" s="4"/>
      <c r="D17" s="4"/>
      <c r="E17" s="7" t="str">
        <f aca="false">IF(D17="","",D17/12)</f>
        <v/>
      </c>
      <c r="F17" s="4"/>
      <c r="G17" s="4"/>
      <c r="H17" s="18"/>
      <c r="I17" s="19"/>
      <c r="J17" s="4"/>
      <c r="K17" s="4"/>
    </row>
    <row r="18" customFormat="false" ht="15" hidden="false" customHeight="false" outlineLevel="0" collapsed="false">
      <c r="A18" s="4"/>
      <c r="B18" s="4"/>
      <c r="C18" s="4"/>
      <c r="D18" s="4"/>
      <c r="E18" s="7" t="str">
        <f aca="false">IF(D18="","",D18/12)</f>
        <v/>
      </c>
      <c r="F18" s="4"/>
      <c r="G18" s="4"/>
      <c r="H18" s="18"/>
      <c r="I18" s="19"/>
      <c r="J18" s="4"/>
      <c r="K18" s="4"/>
    </row>
    <row r="19" customFormat="false" ht="15" hidden="false" customHeight="false" outlineLevel="0" collapsed="false">
      <c r="A19" s="4"/>
      <c r="B19" s="4"/>
      <c r="C19" s="4"/>
      <c r="D19" s="4"/>
      <c r="E19" s="7" t="str">
        <f aca="false">IF(D19="","",D19/12)</f>
        <v/>
      </c>
      <c r="F19" s="4"/>
      <c r="G19" s="4"/>
      <c r="H19" s="18"/>
      <c r="I19" s="19"/>
      <c r="J19" s="4"/>
      <c r="K19" s="4"/>
    </row>
    <row r="20" customFormat="false" ht="15" hidden="false" customHeight="false" outlineLevel="0" collapsed="false">
      <c r="A20" s="4"/>
      <c r="B20" s="4"/>
      <c r="C20" s="4"/>
      <c r="D20" s="4"/>
      <c r="E20" s="7" t="str">
        <f aca="false">IF(D20="","",D20/12)</f>
        <v/>
      </c>
      <c r="F20" s="4"/>
      <c r="G20" s="4"/>
      <c r="H20" s="18"/>
      <c r="I20" s="19"/>
      <c r="J20" s="4"/>
      <c r="K20" s="4"/>
    </row>
    <row r="21" customFormat="false" ht="15" hidden="false" customHeight="false" outlineLevel="0" collapsed="false">
      <c r="A21" s="4"/>
      <c r="B21" s="4"/>
      <c r="C21" s="4"/>
      <c r="D21" s="4"/>
      <c r="E21" s="7" t="str">
        <f aca="false">IF(D21="","",D21/12)</f>
        <v/>
      </c>
      <c r="F21" s="4"/>
      <c r="G21" s="4"/>
      <c r="H21" s="18"/>
      <c r="I21" s="19"/>
      <c r="J21" s="4"/>
      <c r="K21" s="4"/>
    </row>
    <row r="22" customFormat="false" ht="15" hidden="false" customHeight="false" outlineLevel="0" collapsed="false">
      <c r="A22" s="4"/>
      <c r="B22" s="4"/>
      <c r="C22" s="4"/>
      <c r="D22" s="4"/>
      <c r="E22" s="7" t="str">
        <f aca="false">IF(D22="","",D22/12)</f>
        <v/>
      </c>
      <c r="F22" s="4"/>
      <c r="G22" s="4"/>
      <c r="H22" s="18"/>
      <c r="I22" s="19"/>
      <c r="J22" s="4"/>
      <c r="K22" s="4"/>
    </row>
    <row r="23" customFormat="false" ht="15" hidden="false" customHeight="false" outlineLevel="0" collapsed="false">
      <c r="A23" s="4"/>
      <c r="B23" s="4"/>
      <c r="C23" s="4"/>
      <c r="D23" s="4"/>
      <c r="E23" s="7" t="str">
        <f aca="false">IF(D23="","",D23/12)</f>
        <v/>
      </c>
      <c r="F23" s="4"/>
      <c r="G23" s="4"/>
      <c r="H23" s="18"/>
      <c r="I23" s="19"/>
      <c r="J23" s="4"/>
      <c r="K23" s="4"/>
    </row>
    <row r="24" customFormat="false" ht="15" hidden="false" customHeight="false" outlineLevel="0" collapsed="false">
      <c r="A24" s="4"/>
      <c r="B24" s="4"/>
      <c r="C24" s="4"/>
      <c r="D24" s="4"/>
      <c r="E24" s="7" t="str">
        <f aca="false">IF(D24="","",D24/12)</f>
        <v/>
      </c>
      <c r="F24" s="4"/>
      <c r="G24" s="4"/>
      <c r="H24" s="18"/>
      <c r="I24" s="19"/>
      <c r="J24" s="4"/>
      <c r="K24" s="4"/>
    </row>
    <row r="25" customFormat="false" ht="15" hidden="false" customHeight="false" outlineLevel="0" collapsed="false">
      <c r="A25" s="4"/>
      <c r="B25" s="4"/>
      <c r="C25" s="4"/>
      <c r="D25" s="4"/>
      <c r="E25" s="7" t="str">
        <f aca="false">IF(D25="","",D25/12)</f>
        <v/>
      </c>
      <c r="F25" s="4"/>
      <c r="G25" s="4"/>
      <c r="H25" s="18"/>
      <c r="I25" s="19"/>
      <c r="J25" s="4"/>
      <c r="K25" s="4"/>
    </row>
    <row r="26" customFormat="false" ht="15" hidden="false" customHeight="false" outlineLevel="0" collapsed="false">
      <c r="A26" s="4"/>
      <c r="B26" s="4"/>
      <c r="C26" s="4"/>
      <c r="D26" s="4"/>
      <c r="E26" s="7" t="str">
        <f aca="false">IF(D26="","",D26/12)</f>
        <v/>
      </c>
      <c r="F26" s="4"/>
      <c r="G26" s="4"/>
      <c r="H26" s="18"/>
      <c r="I26" s="19"/>
      <c r="J26" s="4"/>
      <c r="K26" s="4"/>
    </row>
    <row r="27" customFormat="false" ht="15" hidden="false" customHeight="false" outlineLevel="0" collapsed="false">
      <c r="A27" s="4"/>
      <c r="B27" s="4"/>
      <c r="C27" s="4"/>
      <c r="D27" s="4"/>
      <c r="E27" s="7" t="str">
        <f aca="false">IF(D27="","",D27/12)</f>
        <v/>
      </c>
      <c r="F27" s="4"/>
      <c r="G27" s="4"/>
      <c r="H27" s="18"/>
      <c r="I27" s="19"/>
      <c r="J27" s="4"/>
      <c r="K27" s="4"/>
    </row>
    <row r="28" customFormat="false" ht="15" hidden="false" customHeight="false" outlineLevel="0" collapsed="false">
      <c r="A28" s="4"/>
      <c r="B28" s="4"/>
      <c r="C28" s="4"/>
      <c r="D28" s="4"/>
      <c r="E28" s="7" t="str">
        <f aca="false">IF(D28="","",D28/12)</f>
        <v/>
      </c>
      <c r="F28" s="4"/>
      <c r="G28" s="4"/>
      <c r="H28" s="18"/>
      <c r="I28" s="19"/>
      <c r="J28" s="4"/>
      <c r="K28" s="4"/>
    </row>
    <row r="29" customFormat="false" ht="15" hidden="false" customHeight="false" outlineLevel="0" collapsed="false">
      <c r="A29" s="4"/>
      <c r="B29" s="4"/>
      <c r="C29" s="4"/>
      <c r="D29" s="4"/>
      <c r="E29" s="7" t="str">
        <f aca="false">IF(D29="","",D29/12)</f>
        <v/>
      </c>
      <c r="F29" s="4"/>
      <c r="G29" s="4"/>
      <c r="H29" s="18"/>
      <c r="I29" s="19"/>
      <c r="J29" s="4"/>
      <c r="K29" s="4"/>
    </row>
    <row r="30" customFormat="false" ht="15" hidden="false" customHeight="false" outlineLevel="0" collapsed="false">
      <c r="A30" s="4"/>
      <c r="B30" s="4"/>
      <c r="C30" s="4"/>
      <c r="D30" s="4"/>
      <c r="E30" s="7" t="str">
        <f aca="false">IF(D30="","",D30/12)</f>
        <v/>
      </c>
      <c r="F30" s="4"/>
      <c r="G30" s="4"/>
      <c r="H30" s="18"/>
      <c r="I30" s="19"/>
      <c r="J30" s="4"/>
      <c r="K30" s="4"/>
    </row>
  </sheetData>
  <dataValidations count="2">
    <dataValidation allowBlank="true" error="Elige un valor de la lista" errorStyle="stop" operator="between" showDropDown="false" showErrorMessage="true" showInputMessage="false" sqref="C2:C30" type="list">
      <formula1>"bicimoto,trimoto_pasajeros,trimoto_carga"</formula1>
      <formula2>0</formula2>
    </dataValidation>
    <dataValidation allowBlank="true" error="Elige un valor de la lista" errorStyle="stop" operator="between" prompt="48V = 4 baterías · 60V = 5 · 72V = 6" showDropDown="false" showErrorMessage="true" showInputMessage="true" sqref="D2:D30" type="list">
      <formula1>"48,60,72"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6" min="6" style="0" width="50"/>
  </cols>
  <sheetData>
    <row r="1" customFormat="false" ht="31.5" hidden="false" customHeight="true" outlineLevel="0" collapsed="false">
      <c r="A1" s="11" t="s">
        <v>109</v>
      </c>
      <c r="B1" s="11" t="s">
        <v>110</v>
      </c>
      <c r="C1" s="11" t="s">
        <v>111</v>
      </c>
      <c r="D1" s="11" t="s">
        <v>112</v>
      </c>
      <c r="F1" s="20" t="s">
        <v>113</v>
      </c>
    </row>
    <row r="2" customFormat="false" ht="15" hidden="false" customHeight="false" outlineLevel="0" collapsed="false">
      <c r="A2" s="9" t="s">
        <v>114</v>
      </c>
      <c r="B2" s="4" t="s">
        <v>115</v>
      </c>
      <c r="C2" s="5"/>
      <c r="D2" s="13" t="s">
        <v>116</v>
      </c>
    </row>
    <row r="3" customFormat="false" ht="15" hidden="false" customHeight="false" outlineLevel="0" collapsed="false">
      <c r="A3" s="9" t="s">
        <v>117</v>
      </c>
      <c r="B3" s="4" t="s">
        <v>118</v>
      </c>
      <c r="C3" s="5"/>
      <c r="D3" s="13" t="s">
        <v>116</v>
      </c>
    </row>
    <row r="4" customFormat="false" ht="15" hidden="false" customHeight="false" outlineLevel="0" collapsed="false">
      <c r="A4" s="9" t="s">
        <v>119</v>
      </c>
      <c r="B4" s="4"/>
      <c r="C4" s="5"/>
      <c r="D4" s="13" t="s">
        <v>120</v>
      </c>
    </row>
    <row r="5" customFormat="false" ht="15" hidden="false" customHeight="false" outlineLevel="0" collapsed="false">
      <c r="A5" s="9" t="s">
        <v>121</v>
      </c>
      <c r="B5" s="4"/>
      <c r="C5" s="5"/>
      <c r="D5" s="13" t="s">
        <v>122</v>
      </c>
    </row>
    <row r="6" customFormat="false" ht="15" hidden="false" customHeight="false" outlineLevel="0" collapsed="false">
      <c r="A6" s="9" t="s">
        <v>123</v>
      </c>
      <c r="B6" s="4"/>
      <c r="C6" s="5"/>
      <c r="D6" s="13" t="s">
        <v>122</v>
      </c>
    </row>
    <row r="7" customFormat="false" ht="15" hidden="false" customHeight="false" outlineLevel="0" collapsed="false">
      <c r="A7" s="9" t="s">
        <v>124</v>
      </c>
      <c r="B7" s="18" t="n">
        <v>3.78</v>
      </c>
      <c r="C7" s="5" t="s">
        <v>125</v>
      </c>
      <c r="D7" s="13" t="s">
        <v>126</v>
      </c>
    </row>
    <row r="8" customFormat="false" ht="15" hidden="false" customHeight="false" outlineLevel="0" collapsed="false">
      <c r="A8" s="9" t="s">
        <v>127</v>
      </c>
      <c r="B8" s="19"/>
      <c r="C8" s="5" t="s">
        <v>128</v>
      </c>
      <c r="D8" s="13" t="s">
        <v>129</v>
      </c>
    </row>
    <row r="9" customFormat="false" ht="15" hidden="false" customHeight="false" outlineLevel="0" collapsed="false">
      <c r="A9" s="9" t="s">
        <v>130</v>
      </c>
      <c r="B9" s="19"/>
      <c r="C9" s="5" t="s">
        <v>128</v>
      </c>
      <c r="D9" s="13" t="s">
        <v>131</v>
      </c>
    </row>
    <row r="10" customFormat="false" ht="15" hidden="false" customHeight="false" outlineLevel="0" collapsed="false">
      <c r="A10" s="9" t="s">
        <v>132</v>
      </c>
      <c r="B10" s="19"/>
      <c r="C10" s="5" t="s">
        <v>128</v>
      </c>
      <c r="D10" s="13" t="s">
        <v>131</v>
      </c>
    </row>
    <row r="11" customFormat="false" ht="15" hidden="false" customHeight="false" outlineLevel="0" collapsed="false">
      <c r="A11" s="9" t="s">
        <v>133</v>
      </c>
      <c r="B11" s="19"/>
      <c r="C11" s="5" t="s">
        <v>134</v>
      </c>
      <c r="D11" s="13" t="s">
        <v>135</v>
      </c>
    </row>
    <row r="12" customFormat="false" ht="15" hidden="false" customHeight="false" outlineLevel="0" collapsed="false">
      <c r="A12" s="9" t="s">
        <v>136</v>
      </c>
      <c r="B12" s="19"/>
      <c r="C12" s="5" t="s">
        <v>134</v>
      </c>
      <c r="D12" s="13" t="s">
        <v>135</v>
      </c>
    </row>
    <row r="13" customFormat="false" ht="15" hidden="false" customHeight="false" outlineLevel="0" collapsed="false">
      <c r="A13" s="9" t="s">
        <v>137</v>
      </c>
      <c r="B13" s="19"/>
      <c r="C13" s="5" t="s">
        <v>134</v>
      </c>
      <c r="D13" s="13" t="s">
        <v>135</v>
      </c>
    </row>
    <row r="14" customFormat="false" ht="15" hidden="false" customHeight="false" outlineLevel="0" collapsed="false">
      <c r="A14" s="9" t="s">
        <v>138</v>
      </c>
      <c r="B14" s="19"/>
      <c r="C14" s="5" t="s">
        <v>134</v>
      </c>
      <c r="D14" s="13" t="s">
        <v>135</v>
      </c>
    </row>
    <row r="15" customFormat="false" ht="15" hidden="false" customHeight="false" outlineLevel="0" collapsed="false">
      <c r="A15" s="9" t="s">
        <v>139</v>
      </c>
      <c r="B15" s="19"/>
      <c r="C15" s="5" t="s">
        <v>134</v>
      </c>
      <c r="D15" s="13" t="s">
        <v>131</v>
      </c>
    </row>
    <row r="16" customFormat="false" ht="15" hidden="false" customHeight="false" outlineLevel="0" collapsed="false">
      <c r="A16" s="9" t="s">
        <v>140</v>
      </c>
      <c r="B16" s="19"/>
      <c r="C16" s="5" t="s">
        <v>134</v>
      </c>
      <c r="D16" s="13" t="s">
        <v>141</v>
      </c>
    </row>
    <row r="17" customFormat="false" ht="15" hidden="false" customHeight="false" outlineLevel="0" collapsed="false">
      <c r="A17" s="9" t="s">
        <v>142</v>
      </c>
      <c r="B17" s="19"/>
      <c r="C17" s="5" t="s">
        <v>134</v>
      </c>
      <c r="D17" s="13" t="s">
        <v>141</v>
      </c>
    </row>
    <row r="18" customFormat="false" ht="15" hidden="false" customHeight="false" outlineLevel="0" collapsed="false">
      <c r="A18" s="9" t="s">
        <v>143</v>
      </c>
      <c r="B18" s="19"/>
      <c r="C18" s="5" t="s">
        <v>134</v>
      </c>
      <c r="D18" s="13" t="s">
        <v>141</v>
      </c>
    </row>
    <row r="19" customFormat="false" ht="15" hidden="false" customHeight="false" outlineLevel="0" collapsed="false">
      <c r="A19" s="9" t="s">
        <v>65</v>
      </c>
      <c r="B19" s="19" t="n">
        <v>60</v>
      </c>
      <c r="C19" s="5" t="s">
        <v>134</v>
      </c>
      <c r="D19" s="13" t="s">
        <v>144</v>
      </c>
    </row>
    <row r="21" customFormat="false" ht="15" hidden="false" customHeight="false" outlineLevel="0" collapsed="false">
      <c r="A21" s="9" t="s">
        <v>145</v>
      </c>
      <c r="B21" s="21" t="n">
        <f aca="false">SUM(B11:B14)</f>
        <v>0</v>
      </c>
      <c r="C21" s="5" t="s">
        <v>134</v>
      </c>
    </row>
    <row r="22" customFormat="false" ht="15" hidden="false" customHeight="false" outlineLevel="0" collapsed="false">
      <c r="A22" s="9" t="s">
        <v>146</v>
      </c>
      <c r="B22" s="21" t="n">
        <f aca="false">SUM('Packing list'!G2:G40)</f>
        <v>0</v>
      </c>
      <c r="C22" s="5" t="s">
        <v>128</v>
      </c>
      <c r="D22" s="13" t="s">
        <v>147</v>
      </c>
    </row>
    <row r="23" customFormat="false" ht="15" hidden="false" customHeight="false" outlineLevel="0" collapsed="false">
      <c r="A23" s="9" t="s">
        <v>148</v>
      </c>
      <c r="B23" s="7" t="n">
        <f aca="false">SUM('Packing list'!B2:B40)</f>
        <v>0</v>
      </c>
      <c r="C23" s="5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11" t="s">
        <v>87</v>
      </c>
      <c r="B1" s="11" t="s">
        <v>150</v>
      </c>
      <c r="C1" s="11" t="s">
        <v>151</v>
      </c>
      <c r="D1" s="11" t="s">
        <v>152</v>
      </c>
      <c r="E1" s="11" t="s">
        <v>153</v>
      </c>
      <c r="F1" s="11" t="s">
        <v>154</v>
      </c>
      <c r="G1" s="11" t="s">
        <v>155</v>
      </c>
      <c r="H1" s="11" t="s">
        <v>156</v>
      </c>
      <c r="J1" s="20" t="s">
        <v>157</v>
      </c>
    </row>
    <row r="2" customFormat="false" ht="15" hidden="false" customHeight="false" outlineLevel="0" collapsed="false">
      <c r="A2" s="4"/>
      <c r="B2" s="4"/>
      <c r="C2" s="4"/>
      <c r="D2" s="19"/>
      <c r="E2" s="21" t="str">
        <f aca="false">IF(A2="","",IF(D2&lt;&gt;"",D2,IFERROR(INDEX(Modelos!$I$3:$I$30,MATCH(A2,Modelos!$A$3:$A$30,0)),"¿modelo?")))</f>
        <v/>
      </c>
      <c r="F2" s="22" t="str">
        <f aca="false">IF(A2="","",IFERROR(INDEX(Modelos!$H$3:$H$30,MATCH(A2,Modelos!$A$3:$A$30,0)),"¿modelo?"))</f>
        <v/>
      </c>
      <c r="G2" s="21" t="str">
        <f aca="false">IF(OR(A2="",B2=""),"",IFERROR(B2*E2,""))</f>
        <v/>
      </c>
      <c r="H2" s="22" t="str">
        <f aca="false">IF(OR(A2="",B2=""),"",IFERROR(B2*F2,""))</f>
        <v/>
      </c>
    </row>
    <row r="3" customFormat="false" ht="15" hidden="false" customHeight="false" outlineLevel="0" collapsed="false">
      <c r="A3" s="4"/>
      <c r="B3" s="4"/>
      <c r="C3" s="4"/>
      <c r="D3" s="19"/>
      <c r="E3" s="21" t="str">
        <f aca="false">IF(A3="","",IF(D3&lt;&gt;"",D3,IFERROR(INDEX(Modelos!$I$3:$I$30,MATCH(A3,Modelos!$A$3:$A$30,0)),"¿modelo?")))</f>
        <v/>
      </c>
      <c r="F3" s="22" t="str">
        <f aca="false">IF(A3="","",IFERROR(INDEX(Modelos!$H$3:$H$30,MATCH(A3,Modelos!$A$3:$A$30,0)),"¿modelo?"))</f>
        <v/>
      </c>
      <c r="G3" s="21" t="str">
        <f aca="false">IF(OR(A3="",B3=""),"",IFERROR(B3*E3,""))</f>
        <v/>
      </c>
      <c r="H3" s="22" t="str">
        <f aca="false">IF(OR(A3="",B3=""),"",IFERROR(B3*F3,""))</f>
        <v/>
      </c>
    </row>
    <row r="4" customFormat="false" ht="15" hidden="false" customHeight="false" outlineLevel="0" collapsed="false">
      <c r="A4" s="4"/>
      <c r="B4" s="4"/>
      <c r="C4" s="4"/>
      <c r="D4" s="19"/>
      <c r="E4" s="21" t="str">
        <f aca="false">IF(A4="","",IF(D4&lt;&gt;"",D4,IFERROR(INDEX(Modelos!$I$3:$I$30,MATCH(A4,Modelos!$A$3:$A$30,0)),"¿modelo?")))</f>
        <v/>
      </c>
      <c r="F4" s="22" t="str">
        <f aca="false">IF(A4="","",IFERROR(INDEX(Modelos!$H$3:$H$30,MATCH(A4,Modelos!$A$3:$A$30,0)),"¿modelo?"))</f>
        <v/>
      </c>
      <c r="G4" s="21" t="str">
        <f aca="false">IF(OR(A4="",B4=""),"",IFERROR(B4*E4,""))</f>
        <v/>
      </c>
      <c r="H4" s="22" t="str">
        <f aca="false">IF(OR(A4="",B4=""),"",IFERROR(B4*F4,""))</f>
        <v/>
      </c>
    </row>
    <row r="5" customFormat="false" ht="15" hidden="false" customHeight="false" outlineLevel="0" collapsed="false">
      <c r="A5" s="4"/>
      <c r="B5" s="4"/>
      <c r="C5" s="4"/>
      <c r="D5" s="19"/>
      <c r="E5" s="21" t="str">
        <f aca="false">IF(A5="","",IF(D5&lt;&gt;"",D5,IFERROR(INDEX(Modelos!$I$3:$I$30,MATCH(A5,Modelos!$A$3:$A$30,0)),"¿modelo?")))</f>
        <v/>
      </c>
      <c r="F5" s="22" t="str">
        <f aca="false">IF(A5="","",IFERROR(INDEX(Modelos!$H$3:$H$30,MATCH(A5,Modelos!$A$3:$A$30,0)),"¿modelo?"))</f>
        <v/>
      </c>
      <c r="G5" s="21" t="str">
        <f aca="false">IF(OR(A5="",B5=""),"",IFERROR(B5*E5,""))</f>
        <v/>
      </c>
      <c r="H5" s="22" t="str">
        <f aca="false">IF(OR(A5="",B5=""),"",IFERROR(B5*F5,""))</f>
        <v/>
      </c>
    </row>
    <row r="6" customFormat="false" ht="15" hidden="false" customHeight="false" outlineLevel="0" collapsed="false">
      <c r="A6" s="4"/>
      <c r="B6" s="4"/>
      <c r="C6" s="4"/>
      <c r="D6" s="19"/>
      <c r="E6" s="21" t="str">
        <f aca="false">IF(A6="","",IF(D6&lt;&gt;"",D6,IFERROR(INDEX(Modelos!$I$3:$I$30,MATCH(A6,Modelos!$A$3:$A$30,0)),"¿modelo?")))</f>
        <v/>
      </c>
      <c r="F6" s="22" t="str">
        <f aca="false">IF(A6="","",IFERROR(INDEX(Modelos!$H$3:$H$30,MATCH(A6,Modelos!$A$3:$A$30,0)),"¿modelo?"))</f>
        <v/>
      </c>
      <c r="G6" s="21" t="str">
        <f aca="false">IF(OR(A6="",B6=""),"",IFERROR(B6*E6,""))</f>
        <v/>
      </c>
      <c r="H6" s="22" t="str">
        <f aca="false">IF(OR(A6="",B6=""),"",IFERROR(B6*F6,""))</f>
        <v/>
      </c>
    </row>
    <row r="7" customFormat="false" ht="15" hidden="false" customHeight="false" outlineLevel="0" collapsed="false">
      <c r="A7" s="4"/>
      <c r="B7" s="4"/>
      <c r="C7" s="4"/>
      <c r="D7" s="19"/>
      <c r="E7" s="21" t="str">
        <f aca="false">IF(A7="","",IF(D7&lt;&gt;"",D7,IFERROR(INDEX(Modelos!$I$3:$I$30,MATCH(A7,Modelos!$A$3:$A$30,0)),"¿modelo?")))</f>
        <v/>
      </c>
      <c r="F7" s="22" t="str">
        <f aca="false">IF(A7="","",IFERROR(INDEX(Modelos!$H$3:$H$30,MATCH(A7,Modelos!$A$3:$A$30,0)),"¿modelo?"))</f>
        <v/>
      </c>
      <c r="G7" s="21" t="str">
        <f aca="false">IF(OR(A7="",B7=""),"",IFERROR(B7*E7,""))</f>
        <v/>
      </c>
      <c r="H7" s="22" t="str">
        <f aca="false">IF(OR(A7="",B7=""),"",IFERROR(B7*F7,""))</f>
        <v/>
      </c>
    </row>
    <row r="8" customFormat="false" ht="15" hidden="false" customHeight="false" outlineLevel="0" collapsed="false">
      <c r="A8" s="4"/>
      <c r="B8" s="4"/>
      <c r="C8" s="4"/>
      <c r="D8" s="19"/>
      <c r="E8" s="21" t="str">
        <f aca="false">IF(A8="","",IF(D8&lt;&gt;"",D8,IFERROR(INDEX(Modelos!$I$3:$I$30,MATCH(A8,Modelos!$A$3:$A$30,0)),"¿modelo?")))</f>
        <v/>
      </c>
      <c r="F8" s="22" t="str">
        <f aca="false">IF(A8="","",IFERROR(INDEX(Modelos!$H$3:$H$30,MATCH(A8,Modelos!$A$3:$A$30,0)),"¿modelo?"))</f>
        <v/>
      </c>
      <c r="G8" s="21" t="str">
        <f aca="false">IF(OR(A8="",B8=""),"",IFERROR(B8*E8,""))</f>
        <v/>
      </c>
      <c r="H8" s="22" t="str">
        <f aca="false">IF(OR(A8="",B8=""),"",IFERROR(B8*F8,""))</f>
        <v/>
      </c>
    </row>
    <row r="9" customFormat="false" ht="15" hidden="false" customHeight="false" outlineLevel="0" collapsed="false">
      <c r="A9" s="4"/>
      <c r="B9" s="4"/>
      <c r="C9" s="4"/>
      <c r="D9" s="19"/>
      <c r="E9" s="21" t="str">
        <f aca="false">IF(A9="","",IF(D9&lt;&gt;"",D9,IFERROR(INDEX(Modelos!$I$3:$I$30,MATCH(A9,Modelos!$A$3:$A$30,0)),"¿modelo?")))</f>
        <v/>
      </c>
      <c r="F9" s="22" t="str">
        <f aca="false">IF(A9="","",IFERROR(INDEX(Modelos!$H$3:$H$30,MATCH(A9,Modelos!$A$3:$A$30,0)),"¿modelo?"))</f>
        <v/>
      </c>
      <c r="G9" s="21" t="str">
        <f aca="false">IF(OR(A9="",B9=""),"",IFERROR(B9*E9,""))</f>
        <v/>
      </c>
      <c r="H9" s="22" t="str">
        <f aca="false">IF(OR(A9="",B9=""),"",IFERROR(B9*F9,""))</f>
        <v/>
      </c>
    </row>
    <row r="10" customFormat="false" ht="15" hidden="false" customHeight="false" outlineLevel="0" collapsed="false">
      <c r="A10" s="4"/>
      <c r="B10" s="4"/>
      <c r="C10" s="4"/>
      <c r="D10" s="19"/>
      <c r="E10" s="21" t="str">
        <f aca="false">IF(A10="","",IF(D10&lt;&gt;"",D10,IFERROR(INDEX(Modelos!$I$3:$I$30,MATCH(A10,Modelos!$A$3:$A$30,0)),"¿modelo?")))</f>
        <v/>
      </c>
      <c r="F10" s="22" t="str">
        <f aca="false">IF(A10="","",IFERROR(INDEX(Modelos!$H$3:$H$30,MATCH(A10,Modelos!$A$3:$A$30,0)),"¿modelo?"))</f>
        <v/>
      </c>
      <c r="G10" s="21" t="str">
        <f aca="false">IF(OR(A10="",B10=""),"",IFERROR(B10*E10,""))</f>
        <v/>
      </c>
      <c r="H10" s="22" t="str">
        <f aca="false">IF(OR(A10="",B10=""),"",IFERROR(B10*F10,""))</f>
        <v/>
      </c>
    </row>
    <row r="11" customFormat="false" ht="15" hidden="false" customHeight="false" outlineLevel="0" collapsed="false">
      <c r="A11" s="4"/>
      <c r="B11" s="4"/>
      <c r="C11" s="4"/>
      <c r="D11" s="19"/>
      <c r="E11" s="21" t="str">
        <f aca="false">IF(A11="","",IF(D11&lt;&gt;"",D11,IFERROR(INDEX(Modelos!$I$3:$I$30,MATCH(A11,Modelos!$A$3:$A$30,0)),"¿modelo?")))</f>
        <v/>
      </c>
      <c r="F11" s="22" t="str">
        <f aca="false">IF(A11="","",IFERROR(INDEX(Modelos!$H$3:$H$30,MATCH(A11,Modelos!$A$3:$A$30,0)),"¿modelo?"))</f>
        <v/>
      </c>
      <c r="G11" s="21" t="str">
        <f aca="false">IF(OR(A11="",B11=""),"",IFERROR(B11*E11,""))</f>
        <v/>
      </c>
      <c r="H11" s="22" t="str">
        <f aca="false">IF(OR(A11="",B11=""),"",IFERROR(B11*F11,""))</f>
        <v/>
      </c>
    </row>
    <row r="12" customFormat="false" ht="15" hidden="false" customHeight="false" outlineLevel="0" collapsed="false">
      <c r="A12" s="4"/>
      <c r="B12" s="4"/>
      <c r="C12" s="4"/>
      <c r="D12" s="19"/>
      <c r="E12" s="21" t="str">
        <f aca="false">IF(A12="","",IF(D12&lt;&gt;"",D12,IFERROR(INDEX(Modelos!$I$3:$I$30,MATCH(A12,Modelos!$A$3:$A$30,0)),"¿modelo?")))</f>
        <v/>
      </c>
      <c r="F12" s="22" t="str">
        <f aca="false">IF(A12="","",IFERROR(INDEX(Modelos!$H$3:$H$30,MATCH(A12,Modelos!$A$3:$A$30,0)),"¿modelo?"))</f>
        <v/>
      </c>
      <c r="G12" s="21" t="str">
        <f aca="false">IF(OR(A12="",B12=""),"",IFERROR(B12*E12,""))</f>
        <v/>
      </c>
      <c r="H12" s="22" t="str">
        <f aca="false">IF(OR(A12="",B12=""),"",IFERROR(B12*F12,""))</f>
        <v/>
      </c>
    </row>
    <row r="13" customFormat="false" ht="15" hidden="false" customHeight="false" outlineLevel="0" collapsed="false">
      <c r="A13" s="4"/>
      <c r="B13" s="4"/>
      <c r="C13" s="4"/>
      <c r="D13" s="19"/>
      <c r="E13" s="21" t="str">
        <f aca="false">IF(A13="","",IF(D13&lt;&gt;"",D13,IFERROR(INDEX(Modelos!$I$3:$I$30,MATCH(A13,Modelos!$A$3:$A$30,0)),"¿modelo?")))</f>
        <v/>
      </c>
      <c r="F13" s="22" t="str">
        <f aca="false">IF(A13="","",IFERROR(INDEX(Modelos!$H$3:$H$30,MATCH(A13,Modelos!$A$3:$A$30,0)),"¿modelo?"))</f>
        <v/>
      </c>
      <c r="G13" s="21" t="str">
        <f aca="false">IF(OR(A13="",B13=""),"",IFERROR(B13*E13,""))</f>
        <v/>
      </c>
      <c r="H13" s="22" t="str">
        <f aca="false">IF(OR(A13="",B13=""),"",IFERROR(B13*F13,""))</f>
        <v/>
      </c>
    </row>
    <row r="14" customFormat="false" ht="15" hidden="false" customHeight="false" outlineLevel="0" collapsed="false">
      <c r="A14" s="4"/>
      <c r="B14" s="4"/>
      <c r="C14" s="4"/>
      <c r="D14" s="19"/>
      <c r="E14" s="21" t="str">
        <f aca="false">IF(A14="","",IF(D14&lt;&gt;"",D14,IFERROR(INDEX(Modelos!$I$3:$I$30,MATCH(A14,Modelos!$A$3:$A$30,0)),"¿modelo?")))</f>
        <v/>
      </c>
      <c r="F14" s="22" t="str">
        <f aca="false">IF(A14="","",IFERROR(INDEX(Modelos!$H$3:$H$30,MATCH(A14,Modelos!$A$3:$A$30,0)),"¿modelo?"))</f>
        <v/>
      </c>
      <c r="G14" s="21" t="str">
        <f aca="false">IF(OR(A14="",B14=""),"",IFERROR(B14*E14,""))</f>
        <v/>
      </c>
      <c r="H14" s="22" t="str">
        <f aca="false">IF(OR(A14="",B14=""),"",IFERROR(B14*F14,""))</f>
        <v/>
      </c>
    </row>
    <row r="15" customFormat="false" ht="15" hidden="false" customHeight="false" outlineLevel="0" collapsed="false">
      <c r="A15" s="4"/>
      <c r="B15" s="4"/>
      <c r="C15" s="4"/>
      <c r="D15" s="19"/>
      <c r="E15" s="21" t="str">
        <f aca="false">IF(A15="","",IF(D15&lt;&gt;"",D15,IFERROR(INDEX(Modelos!$I$3:$I$30,MATCH(A15,Modelos!$A$3:$A$30,0)),"¿modelo?")))</f>
        <v/>
      </c>
      <c r="F15" s="22" t="str">
        <f aca="false">IF(A15="","",IFERROR(INDEX(Modelos!$H$3:$H$30,MATCH(A15,Modelos!$A$3:$A$30,0)),"¿modelo?"))</f>
        <v/>
      </c>
      <c r="G15" s="21" t="str">
        <f aca="false">IF(OR(A15="",B15=""),"",IFERROR(B15*E15,""))</f>
        <v/>
      </c>
      <c r="H15" s="22" t="str">
        <f aca="false">IF(OR(A15="",B15=""),"",IFERROR(B15*F15,""))</f>
        <v/>
      </c>
    </row>
    <row r="16" customFormat="false" ht="15" hidden="false" customHeight="false" outlineLevel="0" collapsed="false">
      <c r="A16" s="4"/>
      <c r="B16" s="4"/>
      <c r="C16" s="4"/>
      <c r="D16" s="19"/>
      <c r="E16" s="21" t="str">
        <f aca="false">IF(A16="","",IF(D16&lt;&gt;"",D16,IFERROR(INDEX(Modelos!$I$3:$I$30,MATCH(A16,Modelos!$A$3:$A$30,0)),"¿modelo?")))</f>
        <v/>
      </c>
      <c r="F16" s="22" t="str">
        <f aca="false">IF(A16="","",IFERROR(INDEX(Modelos!$H$3:$H$30,MATCH(A16,Modelos!$A$3:$A$30,0)),"¿modelo?"))</f>
        <v/>
      </c>
      <c r="G16" s="21" t="str">
        <f aca="false">IF(OR(A16="",B16=""),"",IFERROR(B16*E16,""))</f>
        <v/>
      </c>
      <c r="H16" s="22" t="str">
        <f aca="false">IF(OR(A16="",B16=""),"",IFERROR(B16*F16,""))</f>
        <v/>
      </c>
    </row>
    <row r="17" customFormat="false" ht="15" hidden="false" customHeight="false" outlineLevel="0" collapsed="false">
      <c r="A17" s="4"/>
      <c r="B17" s="4"/>
      <c r="C17" s="4"/>
      <c r="D17" s="19"/>
      <c r="E17" s="21" t="str">
        <f aca="false">IF(A17="","",IF(D17&lt;&gt;"",D17,IFERROR(INDEX(Modelos!$I$3:$I$30,MATCH(A17,Modelos!$A$3:$A$30,0)),"¿modelo?")))</f>
        <v/>
      </c>
      <c r="F17" s="22" t="str">
        <f aca="false">IF(A17="","",IFERROR(INDEX(Modelos!$H$3:$H$30,MATCH(A17,Modelos!$A$3:$A$30,0)),"¿modelo?"))</f>
        <v/>
      </c>
      <c r="G17" s="21" t="str">
        <f aca="false">IF(OR(A17="",B17=""),"",IFERROR(B17*E17,""))</f>
        <v/>
      </c>
      <c r="H17" s="22" t="str">
        <f aca="false">IF(OR(A17="",B17=""),"",IFERROR(B17*F17,""))</f>
        <v/>
      </c>
    </row>
    <row r="18" customFormat="false" ht="15" hidden="false" customHeight="false" outlineLevel="0" collapsed="false">
      <c r="A18" s="4"/>
      <c r="B18" s="4"/>
      <c r="C18" s="4"/>
      <c r="D18" s="19"/>
      <c r="E18" s="21" t="str">
        <f aca="false">IF(A18="","",IF(D18&lt;&gt;"",D18,IFERROR(INDEX(Modelos!$I$3:$I$30,MATCH(A18,Modelos!$A$3:$A$30,0)),"¿modelo?")))</f>
        <v/>
      </c>
      <c r="F18" s="22" t="str">
        <f aca="false">IF(A18="","",IFERROR(INDEX(Modelos!$H$3:$H$30,MATCH(A18,Modelos!$A$3:$A$30,0)),"¿modelo?"))</f>
        <v/>
      </c>
      <c r="G18" s="21" t="str">
        <f aca="false">IF(OR(A18="",B18=""),"",IFERROR(B18*E18,""))</f>
        <v/>
      </c>
      <c r="H18" s="22" t="str">
        <f aca="false">IF(OR(A18="",B18=""),"",IFERROR(B18*F18,""))</f>
        <v/>
      </c>
    </row>
    <row r="19" customFormat="false" ht="15" hidden="false" customHeight="false" outlineLevel="0" collapsed="false">
      <c r="A19" s="4"/>
      <c r="B19" s="4"/>
      <c r="C19" s="4"/>
      <c r="D19" s="19"/>
      <c r="E19" s="21" t="str">
        <f aca="false">IF(A19="","",IF(D19&lt;&gt;"",D19,IFERROR(INDEX(Modelos!$I$3:$I$30,MATCH(A19,Modelos!$A$3:$A$30,0)),"¿modelo?")))</f>
        <v/>
      </c>
      <c r="F19" s="22" t="str">
        <f aca="false">IF(A19="","",IFERROR(INDEX(Modelos!$H$3:$H$30,MATCH(A19,Modelos!$A$3:$A$30,0)),"¿modelo?"))</f>
        <v/>
      </c>
      <c r="G19" s="21" t="str">
        <f aca="false">IF(OR(A19="",B19=""),"",IFERROR(B19*E19,""))</f>
        <v/>
      </c>
      <c r="H19" s="22" t="str">
        <f aca="false">IF(OR(A19="",B19=""),"",IFERROR(B19*F19,""))</f>
        <v/>
      </c>
    </row>
    <row r="20" customFormat="false" ht="15" hidden="false" customHeight="false" outlineLevel="0" collapsed="false">
      <c r="A20" s="4"/>
      <c r="B20" s="4"/>
      <c r="C20" s="4"/>
      <c r="D20" s="19"/>
      <c r="E20" s="21" t="str">
        <f aca="false">IF(A20="","",IF(D20&lt;&gt;"",D20,IFERROR(INDEX(Modelos!$I$3:$I$30,MATCH(A20,Modelos!$A$3:$A$30,0)),"¿modelo?")))</f>
        <v/>
      </c>
      <c r="F20" s="22" t="str">
        <f aca="false">IF(A20="","",IFERROR(INDEX(Modelos!$H$3:$H$30,MATCH(A20,Modelos!$A$3:$A$30,0)),"¿modelo?"))</f>
        <v/>
      </c>
      <c r="G20" s="21" t="str">
        <f aca="false">IF(OR(A20="",B20=""),"",IFERROR(B20*E20,""))</f>
        <v/>
      </c>
      <c r="H20" s="22" t="str">
        <f aca="false">IF(OR(A20="",B20=""),"",IFERROR(B20*F20,""))</f>
        <v/>
      </c>
    </row>
    <row r="21" customFormat="false" ht="15" hidden="false" customHeight="false" outlineLevel="0" collapsed="false">
      <c r="A21" s="4"/>
      <c r="B21" s="4"/>
      <c r="C21" s="4"/>
      <c r="D21" s="19"/>
      <c r="E21" s="21" t="str">
        <f aca="false">IF(A21="","",IF(D21&lt;&gt;"",D21,IFERROR(INDEX(Modelos!$I$3:$I$30,MATCH(A21,Modelos!$A$3:$A$30,0)),"¿modelo?")))</f>
        <v/>
      </c>
      <c r="F21" s="22" t="str">
        <f aca="false">IF(A21="","",IFERROR(INDEX(Modelos!$H$3:$H$30,MATCH(A21,Modelos!$A$3:$A$30,0)),"¿modelo?"))</f>
        <v/>
      </c>
      <c r="G21" s="21" t="str">
        <f aca="false">IF(OR(A21="",B21=""),"",IFERROR(B21*E21,""))</f>
        <v/>
      </c>
      <c r="H21" s="22" t="str">
        <f aca="false">IF(OR(A21="",B21=""),"",IFERROR(B21*F21,""))</f>
        <v/>
      </c>
    </row>
    <row r="22" customFormat="false" ht="15" hidden="false" customHeight="false" outlineLevel="0" collapsed="false">
      <c r="A22" s="4"/>
      <c r="B22" s="4"/>
      <c r="C22" s="4"/>
      <c r="D22" s="19"/>
      <c r="E22" s="21" t="str">
        <f aca="false">IF(A22="","",IF(D22&lt;&gt;"",D22,IFERROR(INDEX(Modelos!$I$3:$I$30,MATCH(A22,Modelos!$A$3:$A$30,0)),"¿modelo?")))</f>
        <v/>
      </c>
      <c r="F22" s="22" t="str">
        <f aca="false">IF(A22="","",IFERROR(INDEX(Modelos!$H$3:$H$30,MATCH(A22,Modelos!$A$3:$A$30,0)),"¿modelo?"))</f>
        <v/>
      </c>
      <c r="G22" s="21" t="str">
        <f aca="false">IF(OR(A22="",B22=""),"",IFERROR(B22*E22,""))</f>
        <v/>
      </c>
      <c r="H22" s="22" t="str">
        <f aca="false">IF(OR(A22="",B22=""),"",IFERROR(B22*F22,""))</f>
        <v/>
      </c>
    </row>
    <row r="23" customFormat="false" ht="15" hidden="false" customHeight="false" outlineLevel="0" collapsed="false">
      <c r="A23" s="4"/>
      <c r="B23" s="4"/>
      <c r="C23" s="4"/>
      <c r="D23" s="19"/>
      <c r="E23" s="21" t="str">
        <f aca="false">IF(A23="","",IF(D23&lt;&gt;"",D23,IFERROR(INDEX(Modelos!$I$3:$I$30,MATCH(A23,Modelos!$A$3:$A$30,0)),"¿modelo?")))</f>
        <v/>
      </c>
      <c r="F23" s="22" t="str">
        <f aca="false">IF(A23="","",IFERROR(INDEX(Modelos!$H$3:$H$30,MATCH(A23,Modelos!$A$3:$A$30,0)),"¿modelo?"))</f>
        <v/>
      </c>
      <c r="G23" s="21" t="str">
        <f aca="false">IF(OR(A23="",B23=""),"",IFERROR(B23*E23,""))</f>
        <v/>
      </c>
      <c r="H23" s="22" t="str">
        <f aca="false">IF(OR(A23="",B23=""),"",IFERROR(B23*F23,""))</f>
        <v/>
      </c>
    </row>
    <row r="24" customFormat="false" ht="15" hidden="false" customHeight="false" outlineLevel="0" collapsed="false">
      <c r="A24" s="4"/>
      <c r="B24" s="4"/>
      <c r="C24" s="4"/>
      <c r="D24" s="19"/>
      <c r="E24" s="21" t="str">
        <f aca="false">IF(A24="","",IF(D24&lt;&gt;"",D24,IFERROR(INDEX(Modelos!$I$3:$I$30,MATCH(A24,Modelos!$A$3:$A$30,0)),"¿modelo?")))</f>
        <v/>
      </c>
      <c r="F24" s="22" t="str">
        <f aca="false">IF(A24="","",IFERROR(INDEX(Modelos!$H$3:$H$30,MATCH(A24,Modelos!$A$3:$A$30,0)),"¿modelo?"))</f>
        <v/>
      </c>
      <c r="G24" s="21" t="str">
        <f aca="false">IF(OR(A24="",B24=""),"",IFERROR(B24*E24,""))</f>
        <v/>
      </c>
      <c r="H24" s="22" t="str">
        <f aca="false">IF(OR(A24="",B24=""),"",IFERROR(B24*F24,""))</f>
        <v/>
      </c>
    </row>
    <row r="25" customFormat="false" ht="15" hidden="false" customHeight="false" outlineLevel="0" collapsed="false">
      <c r="A25" s="4"/>
      <c r="B25" s="4"/>
      <c r="C25" s="4"/>
      <c r="D25" s="19"/>
      <c r="E25" s="21" t="str">
        <f aca="false">IF(A25="","",IF(D25&lt;&gt;"",D25,IFERROR(INDEX(Modelos!$I$3:$I$30,MATCH(A25,Modelos!$A$3:$A$30,0)),"¿modelo?")))</f>
        <v/>
      </c>
      <c r="F25" s="22" t="str">
        <f aca="false">IF(A25="","",IFERROR(INDEX(Modelos!$H$3:$H$30,MATCH(A25,Modelos!$A$3:$A$30,0)),"¿modelo?"))</f>
        <v/>
      </c>
      <c r="G25" s="21" t="str">
        <f aca="false">IF(OR(A25="",B25=""),"",IFERROR(B25*E25,""))</f>
        <v/>
      </c>
      <c r="H25" s="22" t="str">
        <f aca="false">IF(OR(A25="",B25=""),"",IFERROR(B25*F25,""))</f>
        <v/>
      </c>
    </row>
    <row r="26" customFormat="false" ht="15" hidden="false" customHeight="false" outlineLevel="0" collapsed="false">
      <c r="A26" s="4"/>
      <c r="B26" s="4"/>
      <c r="C26" s="4"/>
      <c r="D26" s="19"/>
      <c r="E26" s="21" t="str">
        <f aca="false">IF(A26="","",IF(D26&lt;&gt;"",D26,IFERROR(INDEX(Modelos!$I$3:$I$30,MATCH(A26,Modelos!$A$3:$A$30,0)),"¿modelo?")))</f>
        <v/>
      </c>
      <c r="F26" s="22" t="str">
        <f aca="false">IF(A26="","",IFERROR(INDEX(Modelos!$H$3:$H$30,MATCH(A26,Modelos!$A$3:$A$30,0)),"¿modelo?"))</f>
        <v/>
      </c>
      <c r="G26" s="21" t="str">
        <f aca="false">IF(OR(A26="",B26=""),"",IFERROR(B26*E26,""))</f>
        <v/>
      </c>
      <c r="H26" s="22" t="str">
        <f aca="false">IF(OR(A26="",B26=""),"",IFERROR(B26*F26,""))</f>
        <v/>
      </c>
    </row>
    <row r="27" customFormat="false" ht="15" hidden="false" customHeight="false" outlineLevel="0" collapsed="false">
      <c r="A27" s="4"/>
      <c r="B27" s="4"/>
      <c r="C27" s="4"/>
      <c r="D27" s="19"/>
      <c r="E27" s="21" t="str">
        <f aca="false">IF(A27="","",IF(D27&lt;&gt;"",D27,IFERROR(INDEX(Modelos!$I$3:$I$30,MATCH(A27,Modelos!$A$3:$A$30,0)),"¿modelo?")))</f>
        <v/>
      </c>
      <c r="F27" s="22" t="str">
        <f aca="false">IF(A27="","",IFERROR(INDEX(Modelos!$H$3:$H$30,MATCH(A27,Modelos!$A$3:$A$30,0)),"¿modelo?"))</f>
        <v/>
      </c>
      <c r="G27" s="21" t="str">
        <f aca="false">IF(OR(A27="",B27=""),"",IFERROR(B27*E27,""))</f>
        <v/>
      </c>
      <c r="H27" s="22" t="str">
        <f aca="false">IF(OR(A27="",B27=""),"",IFERROR(B27*F27,""))</f>
        <v/>
      </c>
    </row>
    <row r="28" customFormat="false" ht="15" hidden="false" customHeight="false" outlineLevel="0" collapsed="false">
      <c r="A28" s="4"/>
      <c r="B28" s="4"/>
      <c r="C28" s="4"/>
      <c r="D28" s="19"/>
      <c r="E28" s="21" t="str">
        <f aca="false">IF(A28="","",IF(D28&lt;&gt;"",D28,IFERROR(INDEX(Modelos!$I$3:$I$30,MATCH(A28,Modelos!$A$3:$A$30,0)),"¿modelo?")))</f>
        <v/>
      </c>
      <c r="F28" s="22" t="str">
        <f aca="false">IF(A28="","",IFERROR(INDEX(Modelos!$H$3:$H$30,MATCH(A28,Modelos!$A$3:$A$30,0)),"¿modelo?"))</f>
        <v/>
      </c>
      <c r="G28" s="21" t="str">
        <f aca="false">IF(OR(A28="",B28=""),"",IFERROR(B28*E28,""))</f>
        <v/>
      </c>
      <c r="H28" s="22" t="str">
        <f aca="false">IF(OR(A28="",B28=""),"",IFERROR(B28*F28,""))</f>
        <v/>
      </c>
    </row>
    <row r="29" customFormat="false" ht="15" hidden="false" customHeight="false" outlineLevel="0" collapsed="false">
      <c r="A29" s="4"/>
      <c r="B29" s="4"/>
      <c r="C29" s="4"/>
      <c r="D29" s="19"/>
      <c r="E29" s="21" t="str">
        <f aca="false">IF(A29="","",IF(D29&lt;&gt;"",D29,IFERROR(INDEX(Modelos!$I$3:$I$30,MATCH(A29,Modelos!$A$3:$A$30,0)),"¿modelo?")))</f>
        <v/>
      </c>
      <c r="F29" s="22" t="str">
        <f aca="false">IF(A29="","",IFERROR(INDEX(Modelos!$H$3:$H$30,MATCH(A29,Modelos!$A$3:$A$30,0)),"¿modelo?"))</f>
        <v/>
      </c>
      <c r="G29" s="21" t="str">
        <f aca="false">IF(OR(A29="",B29=""),"",IFERROR(B29*E29,""))</f>
        <v/>
      </c>
      <c r="H29" s="22" t="str">
        <f aca="false">IF(OR(A29="",B29=""),"",IFERROR(B29*F29,""))</f>
        <v/>
      </c>
    </row>
    <row r="30" customFormat="false" ht="15" hidden="false" customHeight="false" outlineLevel="0" collapsed="false">
      <c r="A30" s="4"/>
      <c r="B30" s="4"/>
      <c r="C30" s="4"/>
      <c r="D30" s="19"/>
      <c r="E30" s="21" t="str">
        <f aca="false">IF(A30="","",IF(D30&lt;&gt;"",D30,IFERROR(INDEX(Modelos!$I$3:$I$30,MATCH(A30,Modelos!$A$3:$A$30,0)),"¿modelo?")))</f>
        <v/>
      </c>
      <c r="F30" s="22" t="str">
        <f aca="false">IF(A30="","",IFERROR(INDEX(Modelos!$H$3:$H$30,MATCH(A30,Modelos!$A$3:$A$30,0)),"¿modelo?"))</f>
        <v/>
      </c>
      <c r="G30" s="21" t="str">
        <f aca="false">IF(OR(A30="",B30=""),"",IFERROR(B30*E30,""))</f>
        <v/>
      </c>
      <c r="H30" s="22" t="str">
        <f aca="false">IF(OR(A30="",B30=""),"",IFERROR(B30*F30,""))</f>
        <v/>
      </c>
    </row>
    <row r="31" customFormat="false" ht="15" hidden="false" customHeight="false" outlineLevel="0" collapsed="false">
      <c r="A31" s="4"/>
      <c r="B31" s="4"/>
      <c r="C31" s="4"/>
      <c r="D31" s="19"/>
      <c r="E31" s="21" t="str">
        <f aca="false">IF(A31="","",IF(D31&lt;&gt;"",D31,IFERROR(INDEX(Modelos!$I$3:$I$30,MATCH(A31,Modelos!$A$3:$A$30,0)),"¿modelo?")))</f>
        <v/>
      </c>
      <c r="F31" s="22" t="str">
        <f aca="false">IF(A31="","",IFERROR(INDEX(Modelos!$H$3:$H$30,MATCH(A31,Modelos!$A$3:$A$30,0)),"¿modelo?"))</f>
        <v/>
      </c>
      <c r="G31" s="21" t="str">
        <f aca="false">IF(OR(A31="",B31=""),"",IFERROR(B31*E31,""))</f>
        <v/>
      </c>
      <c r="H31" s="22" t="str">
        <f aca="false">IF(OR(A31="",B31=""),"",IFERROR(B31*F31,""))</f>
        <v/>
      </c>
    </row>
    <row r="32" customFormat="false" ht="15" hidden="false" customHeight="false" outlineLevel="0" collapsed="false">
      <c r="A32" s="4"/>
      <c r="B32" s="4"/>
      <c r="C32" s="4"/>
      <c r="D32" s="19"/>
      <c r="E32" s="21" t="str">
        <f aca="false">IF(A32="","",IF(D32&lt;&gt;"",D32,IFERROR(INDEX(Modelos!$I$3:$I$30,MATCH(A32,Modelos!$A$3:$A$30,0)),"¿modelo?")))</f>
        <v/>
      </c>
      <c r="F32" s="22" t="str">
        <f aca="false">IF(A32="","",IFERROR(INDEX(Modelos!$H$3:$H$30,MATCH(A32,Modelos!$A$3:$A$30,0)),"¿modelo?"))</f>
        <v/>
      </c>
      <c r="G32" s="21" t="str">
        <f aca="false">IF(OR(A32="",B32=""),"",IFERROR(B32*E32,""))</f>
        <v/>
      </c>
      <c r="H32" s="22" t="str">
        <f aca="false">IF(OR(A32="",B32=""),"",IFERROR(B32*F32,""))</f>
        <v/>
      </c>
    </row>
    <row r="33" customFormat="false" ht="15" hidden="false" customHeight="false" outlineLevel="0" collapsed="false">
      <c r="A33" s="4"/>
      <c r="B33" s="4"/>
      <c r="C33" s="4"/>
      <c r="D33" s="19"/>
      <c r="E33" s="21" t="str">
        <f aca="false">IF(A33="","",IF(D33&lt;&gt;"",D33,IFERROR(INDEX(Modelos!$I$3:$I$30,MATCH(A33,Modelos!$A$3:$A$30,0)),"¿modelo?")))</f>
        <v/>
      </c>
      <c r="F33" s="22" t="str">
        <f aca="false">IF(A33="","",IFERROR(INDEX(Modelos!$H$3:$H$30,MATCH(A33,Modelos!$A$3:$A$30,0)),"¿modelo?"))</f>
        <v/>
      </c>
      <c r="G33" s="21" t="str">
        <f aca="false">IF(OR(A33="",B33=""),"",IFERROR(B33*E33,""))</f>
        <v/>
      </c>
      <c r="H33" s="22" t="str">
        <f aca="false">IF(OR(A33="",B33=""),"",IFERROR(B33*F33,""))</f>
        <v/>
      </c>
    </row>
    <row r="34" customFormat="false" ht="15" hidden="false" customHeight="false" outlineLevel="0" collapsed="false">
      <c r="A34" s="4"/>
      <c r="B34" s="4"/>
      <c r="C34" s="4"/>
      <c r="D34" s="19"/>
      <c r="E34" s="21" t="str">
        <f aca="false">IF(A34="","",IF(D34&lt;&gt;"",D34,IFERROR(INDEX(Modelos!$I$3:$I$30,MATCH(A34,Modelos!$A$3:$A$30,0)),"¿modelo?")))</f>
        <v/>
      </c>
      <c r="F34" s="22" t="str">
        <f aca="false">IF(A34="","",IFERROR(INDEX(Modelos!$H$3:$H$30,MATCH(A34,Modelos!$A$3:$A$30,0)),"¿modelo?"))</f>
        <v/>
      </c>
      <c r="G34" s="21" t="str">
        <f aca="false">IF(OR(A34="",B34=""),"",IFERROR(B34*E34,""))</f>
        <v/>
      </c>
      <c r="H34" s="22" t="str">
        <f aca="false">IF(OR(A34="",B34=""),"",IFERROR(B34*F34,""))</f>
        <v/>
      </c>
    </row>
    <row r="35" customFormat="false" ht="15" hidden="false" customHeight="false" outlineLevel="0" collapsed="false">
      <c r="A35" s="4"/>
      <c r="B35" s="4"/>
      <c r="C35" s="4"/>
      <c r="D35" s="19"/>
      <c r="E35" s="21" t="str">
        <f aca="false">IF(A35="","",IF(D35&lt;&gt;"",D35,IFERROR(INDEX(Modelos!$I$3:$I$30,MATCH(A35,Modelos!$A$3:$A$30,0)),"¿modelo?")))</f>
        <v/>
      </c>
      <c r="F35" s="22" t="str">
        <f aca="false">IF(A35="","",IFERROR(INDEX(Modelos!$H$3:$H$30,MATCH(A35,Modelos!$A$3:$A$30,0)),"¿modelo?"))</f>
        <v/>
      </c>
      <c r="G35" s="21" t="str">
        <f aca="false">IF(OR(A35="",B35=""),"",IFERROR(B35*E35,""))</f>
        <v/>
      </c>
      <c r="H35" s="22" t="str">
        <f aca="false">IF(OR(A35="",B35=""),"",IFERROR(B35*F35,""))</f>
        <v/>
      </c>
    </row>
    <row r="36" customFormat="false" ht="15" hidden="false" customHeight="false" outlineLevel="0" collapsed="false">
      <c r="A36" s="4"/>
      <c r="B36" s="4"/>
      <c r="C36" s="4"/>
      <c r="D36" s="19"/>
      <c r="E36" s="21" t="str">
        <f aca="false">IF(A36="","",IF(D36&lt;&gt;"",D36,IFERROR(INDEX(Modelos!$I$3:$I$30,MATCH(A36,Modelos!$A$3:$A$30,0)),"¿modelo?")))</f>
        <v/>
      </c>
      <c r="F36" s="22" t="str">
        <f aca="false">IF(A36="","",IFERROR(INDEX(Modelos!$H$3:$H$30,MATCH(A36,Modelos!$A$3:$A$30,0)),"¿modelo?"))</f>
        <v/>
      </c>
      <c r="G36" s="21" t="str">
        <f aca="false">IF(OR(A36="",B36=""),"",IFERROR(B36*E36,""))</f>
        <v/>
      </c>
      <c r="H36" s="22" t="str">
        <f aca="false">IF(OR(A36="",B36=""),"",IFERROR(B36*F36,""))</f>
        <v/>
      </c>
    </row>
    <row r="37" customFormat="false" ht="15" hidden="false" customHeight="false" outlineLevel="0" collapsed="false">
      <c r="A37" s="4"/>
      <c r="B37" s="4"/>
      <c r="C37" s="4"/>
      <c r="D37" s="19"/>
      <c r="E37" s="21" t="str">
        <f aca="false">IF(A37="","",IF(D37&lt;&gt;"",D37,IFERROR(INDEX(Modelos!$I$3:$I$30,MATCH(A37,Modelos!$A$3:$A$30,0)),"¿modelo?")))</f>
        <v/>
      </c>
      <c r="F37" s="22" t="str">
        <f aca="false">IF(A37="","",IFERROR(INDEX(Modelos!$H$3:$H$30,MATCH(A37,Modelos!$A$3:$A$30,0)),"¿modelo?"))</f>
        <v/>
      </c>
      <c r="G37" s="21" t="str">
        <f aca="false">IF(OR(A37="",B37=""),"",IFERROR(B37*E37,""))</f>
        <v/>
      </c>
      <c r="H37" s="22" t="str">
        <f aca="false">IF(OR(A37="",B37=""),"",IFERROR(B37*F37,""))</f>
        <v/>
      </c>
    </row>
    <row r="38" customFormat="false" ht="15" hidden="false" customHeight="false" outlineLevel="0" collapsed="false">
      <c r="A38" s="4"/>
      <c r="B38" s="4"/>
      <c r="C38" s="4"/>
      <c r="D38" s="19"/>
      <c r="E38" s="21" t="str">
        <f aca="false">IF(A38="","",IF(D38&lt;&gt;"",D38,IFERROR(INDEX(Modelos!$I$3:$I$30,MATCH(A38,Modelos!$A$3:$A$30,0)),"¿modelo?")))</f>
        <v/>
      </c>
      <c r="F38" s="22" t="str">
        <f aca="false">IF(A38="","",IFERROR(INDEX(Modelos!$H$3:$H$30,MATCH(A38,Modelos!$A$3:$A$30,0)),"¿modelo?"))</f>
        <v/>
      </c>
      <c r="G38" s="21" t="str">
        <f aca="false">IF(OR(A38="",B38=""),"",IFERROR(B38*E38,""))</f>
        <v/>
      </c>
      <c r="H38" s="22" t="str">
        <f aca="false">IF(OR(A38="",B38=""),"",IFERROR(B38*F38,""))</f>
        <v/>
      </c>
    </row>
    <row r="39" customFormat="false" ht="15" hidden="false" customHeight="false" outlineLevel="0" collapsed="false">
      <c r="A39" s="4"/>
      <c r="B39" s="4"/>
      <c r="C39" s="4"/>
      <c r="D39" s="19"/>
      <c r="E39" s="21" t="str">
        <f aca="false">IF(A39="","",IF(D39&lt;&gt;"",D39,IFERROR(INDEX(Modelos!$I$3:$I$30,MATCH(A39,Modelos!$A$3:$A$30,0)),"¿modelo?")))</f>
        <v/>
      </c>
      <c r="F39" s="22" t="str">
        <f aca="false">IF(A39="","",IFERROR(INDEX(Modelos!$H$3:$H$30,MATCH(A39,Modelos!$A$3:$A$30,0)),"¿modelo?"))</f>
        <v/>
      </c>
      <c r="G39" s="21" t="str">
        <f aca="false">IF(OR(A39="",B39=""),"",IFERROR(B39*E39,""))</f>
        <v/>
      </c>
      <c r="H39" s="22" t="str">
        <f aca="false">IF(OR(A39="",B39=""),"",IFERROR(B39*F39,""))</f>
        <v/>
      </c>
    </row>
    <row r="40" customFormat="false" ht="15" hidden="false" customHeight="false" outlineLevel="0" collapsed="false">
      <c r="A40" s="4"/>
      <c r="B40" s="4"/>
      <c r="C40" s="4"/>
      <c r="D40" s="19"/>
      <c r="E40" s="21" t="str">
        <f aca="false">IF(A40="","",IF(D40&lt;&gt;"",D40,IFERROR(INDEX(Modelos!$I$3:$I$30,MATCH(A40,Modelos!$A$3:$A$30,0)),"¿modelo?")))</f>
        <v/>
      </c>
      <c r="F40" s="22" t="str">
        <f aca="false">IF(A40="","",IFERROR(INDEX(Modelos!$H$3:$H$30,MATCH(A40,Modelos!$A$3:$A$30,0)),"¿modelo?"))</f>
        <v/>
      </c>
      <c r="G40" s="21" t="str">
        <f aca="false">IF(OR(A40="",B40=""),"",IFERROR(B40*E40,""))</f>
        <v/>
      </c>
      <c r="H40" s="22" t="str">
        <f aca="false">IF(OR(A40="",B40=""),"",IFERROR(B40*F40,""))</f>
        <v/>
      </c>
    </row>
    <row r="42" customFormat="false" ht="15" hidden="false" customHeight="false" outlineLevel="0" collapsed="false">
      <c r="A42" s="9" t="s">
        <v>158</v>
      </c>
      <c r="B42" s="9" t="n">
        <f aca="false">SUM(B2:B40)</f>
        <v>0</v>
      </c>
      <c r="C42" s="9" t="n">
        <f aca="false">SUM(C2:C40)</f>
        <v>0</v>
      </c>
      <c r="G42" s="23" t="n">
        <f aca="false">SUM(G2:G40)</f>
        <v>0</v>
      </c>
      <c r="H42" s="24" t="n">
        <f aca="false">SUM(H2:H40)</f>
        <v>0</v>
      </c>
    </row>
  </sheetData>
  <dataValidations count="1">
    <dataValidation allowBlank="true" error="Elige un valor de la lista" errorStyle="stop" operator="between" prompt="Elige un modelo de la hoja Modelos" showDropDown="false" showErrorMessage="true" showInputMessage="true" sqref="A2:A40" type="list">
      <formula1>Modelos!$A$3:$A$30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9" min="9" style="0" width="55"/>
  </cols>
  <sheetData>
    <row r="1" customFormat="false" ht="31.5" hidden="false" customHeight="true" outlineLevel="0" collapsed="false">
      <c r="A1" s="11" t="s">
        <v>159</v>
      </c>
      <c r="B1" s="11" t="s">
        <v>160</v>
      </c>
      <c r="C1" s="11" t="s">
        <v>87</v>
      </c>
      <c r="D1" s="11" t="s">
        <v>161</v>
      </c>
      <c r="E1" s="11" t="s">
        <v>162</v>
      </c>
      <c r="F1" s="11" t="s">
        <v>163</v>
      </c>
      <c r="G1" s="11" t="s">
        <v>71</v>
      </c>
      <c r="I1" s="14" t="s">
        <v>164</v>
      </c>
    </row>
    <row r="2" customFormat="false" ht="15" hidden="false" customHeight="false" outlineLevel="0" collapsed="false">
      <c r="A2" s="15" t="s">
        <v>165</v>
      </c>
      <c r="B2" s="15" t="s">
        <v>166</v>
      </c>
      <c r="C2" s="15" t="s">
        <v>105</v>
      </c>
      <c r="D2" s="15" t="s">
        <v>167</v>
      </c>
      <c r="E2" s="15" t="s">
        <v>168</v>
      </c>
      <c r="F2" s="15" t="s">
        <v>169</v>
      </c>
      <c r="G2" s="15" t="s">
        <v>86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5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5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5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5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5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5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5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5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5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5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5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5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5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5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5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5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5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5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5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5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5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5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5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5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5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5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5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5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5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5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5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5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5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5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5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5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5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5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5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5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5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5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5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5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5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5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5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5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5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5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5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5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5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5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5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5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5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5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5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5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5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5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5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5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5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5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5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5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5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5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5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5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5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5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5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5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5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5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5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5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5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5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5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5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5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5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5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5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5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5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5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5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5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5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5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5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5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5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5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5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5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5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5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5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5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5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5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5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5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5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5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5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5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5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5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5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5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5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5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5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5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5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5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5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5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5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5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5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5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5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5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5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5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5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5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5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5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5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5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5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5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5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5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5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5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5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5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5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5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5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5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5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5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5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5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5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5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5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5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5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5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5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5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5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5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5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5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5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5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5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5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5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5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5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5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5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5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5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5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5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5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5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5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5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5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5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5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5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5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5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5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5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5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5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5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5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5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5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5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5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5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5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5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5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5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5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5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5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5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5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5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5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5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5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5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5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5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5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5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5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5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5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5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5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5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5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5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5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5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5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5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5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5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5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5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5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5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5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5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5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5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5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5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5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5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5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5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5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5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5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5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5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5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5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5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5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5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5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5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5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5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5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5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5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5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5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5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5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5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5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5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5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5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5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5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5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5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5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5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5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5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5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5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5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5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5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5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5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5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5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5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5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5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5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5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5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5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5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5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5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5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5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5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5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5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5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5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5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5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5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5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5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5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5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5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5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5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5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5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5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5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5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5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5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5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5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5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5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5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5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5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5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5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5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5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5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5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5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5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5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5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5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5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5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5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5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5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5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5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5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5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5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5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5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5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5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5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5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5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5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5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5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5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5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5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5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5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5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5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5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5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5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5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5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5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5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5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5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5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5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5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5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5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5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5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5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5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5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5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5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5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5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5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5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5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5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5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5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5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5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5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5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5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5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5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5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5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5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5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5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5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5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5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5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5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5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5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5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5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5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5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5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5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5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5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5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5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5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5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5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5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5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5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5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5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5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5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5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5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5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5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5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5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5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5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5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5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5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5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5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5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5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5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5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5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5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5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5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5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5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5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5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5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5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5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5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5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5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5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5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5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5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5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5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5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5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5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5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5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5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5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5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5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5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5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5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5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5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5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5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5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5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5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5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5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5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5"/>
    </row>
  </sheetData>
  <dataValidations count="2">
    <dataValidation allowBlank="true" error="Elige un valor de la lista" errorStyle="stop" operator="between" showDropDown="false" showErrorMessage="true" showInputMessage="false" sqref="C2:C502" type="list">
      <formula1>Modelos!$A$3:$A$30</formula1>
      <formula2>0</formula2>
    </dataValidation>
    <dataValidation allowBlank="true" error="Elige un valor de la lista" errorStyle="stop" operator="between" prompt="Normalmente en_caja. Usa las otras solo para unidades que ya existían antes del sistema." showDropDown="false" showErrorMessage="true" showInputMessage="true" sqref="F2:F502" type="list">
      <formula1>"en_caja,armada_en_tienda,vendida_antes_del_sistema"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8"/>
    <col collapsed="false" customWidth="true" hidden="false" outlineLevel="0" max="7" min="6" style="0" width="20"/>
    <col collapsed="false" customWidth="true" hidden="false" outlineLevel="0" max="9" min="9" style="0" width="55"/>
  </cols>
  <sheetData>
    <row r="1" customFormat="false" ht="31.5" hidden="false" customHeight="true" outlineLevel="0" collapsed="false">
      <c r="A1" s="11" t="s">
        <v>159</v>
      </c>
      <c r="B1" s="11" t="s">
        <v>170</v>
      </c>
      <c r="C1" s="11" t="s">
        <v>171</v>
      </c>
      <c r="D1" s="11" t="s">
        <v>172</v>
      </c>
      <c r="E1" s="11" t="s">
        <v>173</v>
      </c>
      <c r="F1" s="11" t="s">
        <v>174</v>
      </c>
      <c r="G1" s="11" t="s">
        <v>175</v>
      </c>
      <c r="I1" s="14" t="s">
        <v>176</v>
      </c>
    </row>
    <row r="2" customFormat="false" ht="15" hidden="false" customHeight="false" outlineLevel="0" collapsed="false">
      <c r="A2" s="15" t="s">
        <v>165</v>
      </c>
      <c r="B2" s="15" t="s">
        <v>177</v>
      </c>
      <c r="C2" s="15" t="s">
        <v>178</v>
      </c>
      <c r="D2" s="15" t="s">
        <v>179</v>
      </c>
      <c r="E2" s="15" t="s">
        <v>180</v>
      </c>
      <c r="F2" s="15" t="s">
        <v>181</v>
      </c>
      <c r="G2" s="15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2026-10-14T06:16:48Z</dcterms:created>
  <dc:creator>openpyxl</dc:creator>
  <dc:description/>
  <dc:language>en-US</dc:language>
  <cp:lastModifiedBy/>
  <dcterms:modified xsi:type="dcterms:W3CDTF">2026-10-14T06:16:48Z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